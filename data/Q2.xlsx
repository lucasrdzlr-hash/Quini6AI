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Tecnica Radar\Documents\GitHub\Quini6AI\data\"/>
    </mc:Choice>
  </mc:AlternateContent>
  <bookViews>
    <workbookView xWindow="0" yWindow="0" windowWidth="13680" windowHeight="10725" activeTab="3"/>
  </bookViews>
  <sheets>
    <sheet name="HIST" sheetId="12" r:id="rId1"/>
    <sheet name="CG100" sheetId="10" r:id="rId2"/>
    <sheet name="CG50" sheetId="8" r:id="rId3"/>
    <sheet name="CG20" sheetId="9" r:id="rId4"/>
    <sheet name="Stats" sheetId="11" r:id="rId5"/>
  </sheets>
  <definedNames>
    <definedName name="_?nsorteos_100" localSheetId="1">'CG100'!$A$1:$G$509</definedName>
    <definedName name="_?nsorteos_20" localSheetId="3">'CG20'!$A$1:$G$514</definedName>
    <definedName name="estadisticas" localSheetId="2">'CG50'!$A$1:$G$509</definedName>
    <definedName name="quini6estadisticas" localSheetId="0">HIST!$A$1:$F$75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1" l="1"/>
  <c r="I2" i="11"/>
  <c r="H3" i="11"/>
  <c r="I3" i="11"/>
  <c r="H4" i="11"/>
  <c r="J4" i="11" s="1"/>
  <c r="I4" i="11"/>
  <c r="H5" i="11"/>
  <c r="I5" i="11"/>
  <c r="H6" i="11"/>
  <c r="J6" i="11" s="1"/>
  <c r="I6" i="11"/>
  <c r="H7" i="11"/>
  <c r="I7" i="11"/>
  <c r="H8" i="11"/>
  <c r="I8" i="11"/>
  <c r="H9" i="11"/>
  <c r="I9" i="11"/>
  <c r="H10" i="11"/>
  <c r="I10" i="11"/>
  <c r="H11" i="11"/>
  <c r="I11" i="11"/>
  <c r="H12" i="11"/>
  <c r="I12" i="11"/>
  <c r="H13" i="11"/>
  <c r="I13" i="11"/>
  <c r="H14" i="11"/>
  <c r="J14" i="11" s="1"/>
  <c r="I14" i="11"/>
  <c r="H15" i="11"/>
  <c r="I15" i="11"/>
  <c r="H16" i="11"/>
  <c r="I16" i="11"/>
  <c r="H17" i="11"/>
  <c r="I17" i="11"/>
  <c r="H18" i="11"/>
  <c r="I18" i="11"/>
  <c r="H19" i="11"/>
  <c r="I19" i="11"/>
  <c r="H20" i="11"/>
  <c r="I20" i="11"/>
  <c r="H21" i="11"/>
  <c r="I21" i="11"/>
  <c r="H22" i="11"/>
  <c r="J22" i="11" s="1"/>
  <c r="I22" i="11"/>
  <c r="H23" i="11"/>
  <c r="I23" i="11"/>
  <c r="H24" i="11"/>
  <c r="I24" i="11"/>
  <c r="H25" i="11"/>
  <c r="I25" i="11"/>
  <c r="H26" i="11"/>
  <c r="I26" i="11"/>
  <c r="H27" i="11"/>
  <c r="I27" i="11"/>
  <c r="H28" i="11"/>
  <c r="I28" i="11"/>
  <c r="H29" i="11"/>
  <c r="I29" i="11"/>
  <c r="H30" i="11"/>
  <c r="J30" i="11" s="1"/>
  <c r="I30" i="11"/>
  <c r="H31" i="11"/>
  <c r="I31" i="11"/>
  <c r="H32" i="11"/>
  <c r="I32" i="11"/>
  <c r="H33" i="11"/>
  <c r="I33" i="11"/>
  <c r="H34" i="11"/>
  <c r="I34" i="11"/>
  <c r="H35" i="11"/>
  <c r="I35" i="11"/>
  <c r="H36" i="11"/>
  <c r="I36" i="11"/>
  <c r="H37" i="11"/>
  <c r="I37" i="11"/>
  <c r="H38" i="11"/>
  <c r="J38" i="11" s="1"/>
  <c r="I38" i="11"/>
  <c r="H39" i="11"/>
  <c r="I39" i="11"/>
  <c r="H40" i="11"/>
  <c r="I40" i="11"/>
  <c r="H41" i="11"/>
  <c r="I41" i="11"/>
  <c r="H42" i="11"/>
  <c r="I42" i="11"/>
  <c r="H43" i="11"/>
  <c r="I43" i="11"/>
  <c r="H44" i="11"/>
  <c r="J44" i="11" s="1"/>
  <c r="I44" i="11"/>
  <c r="H45" i="11"/>
  <c r="I45" i="11"/>
  <c r="H46" i="11"/>
  <c r="J46" i="11" s="1"/>
  <c r="I46" i="11"/>
  <c r="I47" i="11"/>
  <c r="H47" i="11"/>
  <c r="J47" i="11" s="1"/>
  <c r="E2" i="11"/>
  <c r="F2" i="11"/>
  <c r="E3" i="11"/>
  <c r="F3" i="11"/>
  <c r="E4" i="11"/>
  <c r="F4" i="11"/>
  <c r="E5" i="11"/>
  <c r="F5" i="11"/>
  <c r="E6" i="11"/>
  <c r="F6" i="11"/>
  <c r="E7" i="11"/>
  <c r="F7" i="11"/>
  <c r="E8" i="11"/>
  <c r="G8" i="11" s="1"/>
  <c r="F8" i="11"/>
  <c r="E9" i="11"/>
  <c r="F9" i="11"/>
  <c r="E10" i="11"/>
  <c r="F10" i="11"/>
  <c r="E11" i="11"/>
  <c r="F11" i="11"/>
  <c r="E12" i="11"/>
  <c r="F12" i="11"/>
  <c r="E13" i="11"/>
  <c r="F13" i="11"/>
  <c r="E14" i="11"/>
  <c r="F14" i="11"/>
  <c r="E15" i="11"/>
  <c r="F15" i="11"/>
  <c r="E16" i="11"/>
  <c r="G16" i="11" s="1"/>
  <c r="F16" i="11"/>
  <c r="E17" i="11"/>
  <c r="F17" i="11"/>
  <c r="E18" i="11"/>
  <c r="F18" i="11"/>
  <c r="E19" i="11"/>
  <c r="F19" i="11"/>
  <c r="E20" i="11"/>
  <c r="F20" i="11"/>
  <c r="E21" i="11"/>
  <c r="F21" i="11"/>
  <c r="E22" i="11"/>
  <c r="F22" i="11"/>
  <c r="E23" i="11"/>
  <c r="G23" i="11" s="1"/>
  <c r="F23" i="11"/>
  <c r="E24" i="11"/>
  <c r="G24" i="11" s="1"/>
  <c r="F24" i="11"/>
  <c r="E25" i="11"/>
  <c r="F25" i="11"/>
  <c r="E26" i="11"/>
  <c r="F26" i="11"/>
  <c r="E27" i="11"/>
  <c r="F27" i="11"/>
  <c r="E28" i="11"/>
  <c r="F28" i="11"/>
  <c r="E29" i="11"/>
  <c r="F29" i="11"/>
  <c r="E30" i="11"/>
  <c r="F30" i="11"/>
  <c r="E31" i="11"/>
  <c r="G31" i="11" s="1"/>
  <c r="F31" i="11"/>
  <c r="E32" i="11"/>
  <c r="G32" i="11" s="1"/>
  <c r="F32" i="11"/>
  <c r="E33" i="11"/>
  <c r="F33" i="11"/>
  <c r="E34" i="11"/>
  <c r="F34" i="11"/>
  <c r="E35" i="11"/>
  <c r="F35" i="11"/>
  <c r="E36" i="11"/>
  <c r="F36" i="11"/>
  <c r="E37" i="11"/>
  <c r="F37" i="11"/>
  <c r="E38" i="11"/>
  <c r="F38" i="11"/>
  <c r="E39" i="11"/>
  <c r="G39" i="11" s="1"/>
  <c r="F39" i="11"/>
  <c r="E40" i="11"/>
  <c r="G40" i="11" s="1"/>
  <c r="F40" i="11"/>
  <c r="E41" i="11"/>
  <c r="F41" i="11"/>
  <c r="E42" i="11"/>
  <c r="F42" i="11"/>
  <c r="E43" i="11"/>
  <c r="F43" i="11"/>
  <c r="E44" i="11"/>
  <c r="F44" i="11"/>
  <c r="E45" i="11"/>
  <c r="F45" i="11"/>
  <c r="E46" i="11"/>
  <c r="F46" i="11"/>
  <c r="F47" i="11"/>
  <c r="E47" i="11"/>
  <c r="C45" i="11"/>
  <c r="C46" i="11"/>
  <c r="C47" i="11"/>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B45" i="11"/>
  <c r="B46" i="11"/>
  <c r="D46" i="11" s="1"/>
  <c r="B47" i="11"/>
  <c r="B2" i="11"/>
  <c r="B3" i="11"/>
  <c r="B4" i="11"/>
  <c r="B5" i="11"/>
  <c r="B6" i="11"/>
  <c r="B7" i="11"/>
  <c r="B8" i="11"/>
  <c r="B9" i="11"/>
  <c r="B10" i="11"/>
  <c r="B11" i="11"/>
  <c r="B12" i="11"/>
  <c r="B13" i="11"/>
  <c r="D13" i="11" s="1"/>
  <c r="B14" i="11"/>
  <c r="D14" i="11" s="1"/>
  <c r="B15" i="11"/>
  <c r="B16" i="11"/>
  <c r="D16" i="11" s="1"/>
  <c r="B17" i="11"/>
  <c r="B18" i="11"/>
  <c r="B19" i="11"/>
  <c r="B20" i="11"/>
  <c r="B21" i="11"/>
  <c r="B22" i="11"/>
  <c r="B23" i="11"/>
  <c r="B24" i="11"/>
  <c r="B25" i="11"/>
  <c r="B26" i="11"/>
  <c r="B27" i="11"/>
  <c r="B28" i="11"/>
  <c r="B29" i="11"/>
  <c r="D29" i="11" s="1"/>
  <c r="B30" i="11"/>
  <c r="D30" i="11" s="1"/>
  <c r="B31" i="11"/>
  <c r="D31" i="11" s="1"/>
  <c r="B32" i="11"/>
  <c r="D32" i="11" s="1"/>
  <c r="B33" i="11"/>
  <c r="B34" i="11"/>
  <c r="B35" i="11"/>
  <c r="B36" i="11"/>
  <c r="B37" i="11"/>
  <c r="B38" i="11"/>
  <c r="B39" i="11"/>
  <c r="B40" i="11"/>
  <c r="B41" i="11"/>
  <c r="B42" i="11"/>
  <c r="B43" i="11"/>
  <c r="B44" i="11"/>
  <c r="D41" i="11" l="1"/>
  <c r="D9" i="11"/>
  <c r="D40" i="11"/>
  <c r="D24" i="11"/>
  <c r="D8" i="11"/>
  <c r="D39" i="11"/>
  <c r="D23" i="11"/>
  <c r="D7" i="11"/>
  <c r="D44" i="11"/>
  <c r="D36" i="11"/>
  <c r="D12" i="11"/>
  <c r="D20" i="11"/>
  <c r="D4" i="11"/>
  <c r="D33" i="11"/>
  <c r="D17" i="11"/>
  <c r="D47" i="11"/>
  <c r="D28" i="11"/>
  <c r="D25" i="11"/>
  <c r="G44" i="11"/>
  <c r="G36" i="11"/>
  <c r="G28" i="11"/>
  <c r="G20" i="11"/>
  <c r="G46" i="11"/>
  <c r="G42" i="11"/>
  <c r="G34" i="11"/>
  <c r="G26" i="11"/>
  <c r="G18" i="11"/>
  <c r="G10" i="11"/>
  <c r="G2" i="11"/>
  <c r="G38" i="11"/>
  <c r="G30" i="11"/>
  <c r="G22" i="11"/>
  <c r="G14" i="11"/>
  <c r="G6" i="11"/>
  <c r="J36" i="11"/>
  <c r="J12" i="11"/>
  <c r="J42" i="11"/>
  <c r="J34" i="11"/>
  <c r="J18" i="11"/>
  <c r="J10" i="11"/>
  <c r="J32" i="11"/>
  <c r="J8" i="11"/>
  <c r="J16" i="11"/>
  <c r="J40" i="11"/>
  <c r="J24" i="11"/>
  <c r="J45" i="11"/>
  <c r="J37" i="11"/>
  <c r="J29" i="11"/>
  <c r="J21" i="11"/>
  <c r="J13" i="11"/>
  <c r="J5" i="11"/>
  <c r="J28" i="11"/>
  <c r="J20" i="11"/>
  <c r="J26" i="11"/>
  <c r="J2" i="11"/>
  <c r="G35" i="11"/>
  <c r="G27" i="11"/>
  <c r="G19" i="11"/>
  <c r="G11" i="11"/>
  <c r="G3" i="11"/>
  <c r="J41" i="11"/>
  <c r="J33" i="11"/>
  <c r="J25" i="11"/>
  <c r="J17" i="11"/>
  <c r="J9" i="11"/>
  <c r="D38" i="11"/>
  <c r="D22" i="11"/>
  <c r="D6" i="11"/>
  <c r="G43" i="11"/>
  <c r="D35" i="11"/>
  <c r="D3" i="11"/>
  <c r="G41" i="11"/>
  <c r="G33" i="11"/>
  <c r="G25" i="11"/>
  <c r="G17" i="11"/>
  <c r="G9" i="11"/>
  <c r="J39" i="11"/>
  <c r="J31" i="11"/>
  <c r="J23" i="11"/>
  <c r="J15" i="11"/>
  <c r="J7" i="11"/>
  <c r="D34" i="11"/>
  <c r="D18" i="11"/>
  <c r="D2" i="11"/>
  <c r="D21" i="11"/>
  <c r="G47" i="11"/>
  <c r="D5" i="11"/>
  <c r="D19" i="11"/>
  <c r="D15" i="11"/>
  <c r="D45" i="11"/>
  <c r="G15" i="11"/>
  <c r="G7" i="11"/>
  <c r="D37" i="11"/>
  <c r="D43" i="11"/>
  <c r="D27" i="11"/>
  <c r="D11" i="11"/>
  <c r="G45" i="11"/>
  <c r="G37" i="11"/>
  <c r="G29" i="11"/>
  <c r="G21" i="11"/>
  <c r="G13" i="11"/>
  <c r="G5" i="11"/>
  <c r="J43" i="11"/>
  <c r="J35" i="11"/>
  <c r="J27" i="11"/>
  <c r="J19" i="11"/>
  <c r="J11" i="11"/>
  <c r="J3" i="11"/>
  <c r="D42" i="11"/>
  <c r="D26" i="11"/>
  <c r="D10" i="11"/>
  <c r="G12" i="11"/>
  <c r="G4" i="11"/>
  <c r="L3" i="11"/>
  <c r="M3" i="11" s="1"/>
  <c r="L4" i="11"/>
  <c r="M4" i="11" s="1"/>
  <c r="L5" i="11"/>
  <c r="M5" i="11" s="1"/>
  <c r="L6" i="11"/>
  <c r="M6" i="11" s="1"/>
  <c r="L7" i="11"/>
  <c r="M7" i="11" s="1"/>
  <c r="L8" i="11"/>
  <c r="M8" i="11" s="1"/>
  <c r="L9" i="11"/>
  <c r="L10" i="11"/>
  <c r="M10" i="11" s="1"/>
  <c r="L11" i="11"/>
  <c r="L12" i="11"/>
  <c r="M12" i="11" s="1"/>
  <c r="L13" i="11"/>
  <c r="M13" i="11" s="1"/>
  <c r="L14" i="11"/>
  <c r="M14" i="11" s="1"/>
  <c r="L15" i="11"/>
  <c r="M15" i="11" s="1"/>
  <c r="L16" i="11"/>
  <c r="M16" i="11" s="1"/>
  <c r="L17" i="11"/>
  <c r="M17" i="11" s="1"/>
  <c r="L18" i="11"/>
  <c r="M18" i="11" s="1"/>
  <c r="L19" i="11"/>
  <c r="M19" i="11" s="1"/>
  <c r="L20" i="11"/>
  <c r="M20" i="11" s="1"/>
  <c r="L21" i="11"/>
  <c r="M21" i="11" s="1"/>
  <c r="L22" i="11"/>
  <c r="M22" i="11" s="1"/>
  <c r="L23" i="11"/>
  <c r="M23" i="11" s="1"/>
  <c r="L24" i="11"/>
  <c r="M24" i="11" s="1"/>
  <c r="L25" i="11"/>
  <c r="M25" i="11" s="1"/>
  <c r="L26" i="11"/>
  <c r="M26" i="11" s="1"/>
  <c r="L27" i="11"/>
  <c r="M27" i="11" s="1"/>
  <c r="L28" i="11"/>
  <c r="M28" i="11" s="1"/>
  <c r="L29" i="11"/>
  <c r="M29" i="11" s="1"/>
  <c r="L30" i="11"/>
  <c r="M30" i="11" s="1"/>
  <c r="L31" i="11"/>
  <c r="M31" i="11" s="1"/>
  <c r="L32" i="11"/>
  <c r="M32" i="11" s="1"/>
  <c r="L33" i="11"/>
  <c r="M33" i="11" s="1"/>
  <c r="L34" i="11"/>
  <c r="M34" i="11" s="1"/>
  <c r="L35" i="11"/>
  <c r="M35" i="11" s="1"/>
  <c r="L36" i="11"/>
  <c r="M36" i="11" s="1"/>
  <c r="L37" i="11"/>
  <c r="M37" i="11" s="1"/>
  <c r="L38" i="11"/>
  <c r="M38" i="11" s="1"/>
  <c r="L39" i="11"/>
  <c r="M39" i="11" s="1"/>
  <c r="L40" i="11"/>
  <c r="M40" i="11" s="1"/>
  <c r="L41" i="11"/>
  <c r="M41" i="11" s="1"/>
  <c r="L42" i="11"/>
  <c r="M42" i="11" s="1"/>
  <c r="L43" i="11"/>
  <c r="M43" i="11" s="1"/>
  <c r="L44" i="11"/>
  <c r="M44" i="11" s="1"/>
  <c r="L45" i="11"/>
  <c r="M45" i="11" s="1"/>
  <c r="L46" i="11"/>
  <c r="M46" i="11" s="1"/>
  <c r="L47" i="11"/>
  <c r="L2" i="11"/>
  <c r="M2" i="11" s="1"/>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M47" i="11"/>
  <c r="M11" i="11"/>
  <c r="M9" i="11"/>
  <c r="R2" i="11" l="1"/>
  <c r="R1" i="11"/>
  <c r="R3" i="11"/>
  <c r="N20" i="11" l="1"/>
  <c r="O20" i="11" s="1"/>
  <c r="N7" i="11"/>
  <c r="N30" i="11"/>
  <c r="O30" i="11" s="1"/>
  <c r="N16" i="11"/>
  <c r="O16" i="11" s="1"/>
  <c r="N25" i="11"/>
  <c r="O25" i="11" s="1"/>
  <c r="N19" i="11"/>
  <c r="O19" i="11" s="1"/>
  <c r="N17" i="11"/>
  <c r="O17" i="11" s="1"/>
  <c r="N2" i="11"/>
  <c r="O2" i="11" s="1"/>
  <c r="N45" i="11"/>
  <c r="O45" i="11" s="1"/>
  <c r="N8" i="11"/>
  <c r="N5" i="11"/>
  <c r="O5" i="11" s="1"/>
  <c r="N14" i="11"/>
  <c r="O14" i="11" s="1"/>
  <c r="N13" i="11"/>
  <c r="O13" i="11" s="1"/>
  <c r="N39" i="11"/>
  <c r="O39" i="11" s="1"/>
  <c r="N36" i="11"/>
  <c r="O36" i="11" s="1"/>
  <c r="N40" i="11"/>
  <c r="O40" i="11" s="1"/>
  <c r="N33" i="11"/>
  <c r="O33" i="11" s="1"/>
  <c r="N10" i="11"/>
  <c r="O10" i="11" s="1"/>
  <c r="N37" i="11"/>
  <c r="O37" i="11" s="1"/>
  <c r="N27" i="11"/>
  <c r="O27" i="11" s="1"/>
  <c r="N47" i="11"/>
  <c r="O47" i="11" s="1"/>
  <c r="N38" i="11"/>
  <c r="O38" i="11" s="1"/>
  <c r="N28" i="11"/>
  <c r="O28" i="11" s="1"/>
  <c r="N42" i="11"/>
  <c r="O42" i="11" s="1"/>
  <c r="N46" i="11"/>
  <c r="O46" i="11" s="1"/>
  <c r="N15" i="11"/>
  <c r="O15" i="11" s="1"/>
  <c r="N3" i="11"/>
  <c r="O3" i="11" s="1"/>
  <c r="N11" i="11"/>
  <c r="O11" i="11" s="1"/>
  <c r="N18" i="11"/>
  <c r="O18" i="11" s="1"/>
  <c r="N4" i="11"/>
  <c r="O4" i="11" s="1"/>
  <c r="N9" i="11"/>
  <c r="O9" i="11" s="1"/>
  <c r="N26" i="11"/>
  <c r="O26" i="11" s="1"/>
  <c r="N24" i="11"/>
  <c r="O24" i="11" s="1"/>
  <c r="N29" i="11"/>
  <c r="O29" i="11" s="1"/>
  <c r="N21" i="11"/>
  <c r="O21" i="11" s="1"/>
  <c r="N31" i="11"/>
  <c r="O31" i="11" s="1"/>
  <c r="N6" i="11"/>
  <c r="O6" i="11" s="1"/>
  <c r="N22" i="11"/>
  <c r="O22" i="11" s="1"/>
  <c r="N32" i="11"/>
  <c r="O32" i="11" s="1"/>
  <c r="N35" i="11"/>
  <c r="O35" i="11" s="1"/>
  <c r="N12" i="11"/>
  <c r="O12" i="11" s="1"/>
  <c r="N23" i="11"/>
  <c r="O23" i="11" s="1"/>
  <c r="N41" i="11"/>
  <c r="O41" i="11" s="1"/>
  <c r="N34" i="11"/>
  <c r="O34" i="11" s="1"/>
  <c r="N44" i="11"/>
  <c r="O44" i="11" s="1"/>
  <c r="N43" i="11"/>
  <c r="O43" i="11" s="1"/>
  <c r="O8" i="11"/>
  <c r="O7" i="11"/>
</calcChain>
</file>

<file path=xl/connections.xml><?xml version="1.0" encoding="utf-8"?>
<connections xmlns="http://schemas.openxmlformats.org/spreadsheetml/2006/main">
  <connection id="1" name="Conexión" type="4" refreshedVersion="6" background="1" saveData="1">
    <webPr sourceData="1" parsePre="1" consecutive="1" xl2000="1" url="https://www.quini-6-resultados.com.ar/quini6/quini6estadisticas.aspx"/>
  </connection>
  <connection id="2" name="Conexión1" type="4" refreshedVersion="6" background="1" saveData="1">
    <webPr sourceData="1" parsePre="1" consecutive="1" xl2000="1" url="https://www.combinacionganadora.com/ar/quini6/estadisticas"/>
  </connection>
  <connection id="3" name="Conexión2" type="4" refreshedVersion="6" background="1" saveData="1">
    <webPr sourceData="1" parsePre="1" consecutive="1" xl2000="1" url="https://www.combinacionganadora.com/ar/quini6/estadisticas/?nsorteos=20"/>
  </connection>
  <connection id="4" name="Conexión3" type="4" refreshedVersion="6" background="1" saveData="1">
    <webPr sourceData="1" parsePre="1" consecutive="1" xl2000="1" url="https://www.combinacionganadora.com/ar/quini6/estadisticas/?nsorteos=100"/>
  </connection>
</connections>
</file>

<file path=xl/sharedStrings.xml><?xml version="1.0" encoding="utf-8"?>
<sst xmlns="http://schemas.openxmlformats.org/spreadsheetml/2006/main" count="1606" uniqueCount="511">
  <si>
    <t>QUINI 6</t>
  </si>
  <si>
    <t>QUINI 6 ESTADISTICAS</t>
  </si>
  <si>
    <t>QUINI 6 SORTEOS</t>
  </si>
  <si>
    <t>BRINCO RESULTADOS</t>
  </si>
  <si>
    <t>LOTO RESULTADOS</t>
  </si>
  <si>
    <t>QUINIELAS</t>
  </si>
  <si>
    <t>TELEKINO</t>
  </si>
  <si>
    <t>HOROSCOPO de HOY</t>
  </si>
  <si>
    <t>SIGNIFICADO DE LOS SUEÃ‘OS</t>
  </si>
  <si>
    <t>Quini 6 EstadÃ­sticas HistÃ³ricas</t>
  </si>
  <si>
    <t>EstadÃ­sticas del quini 6 desde los sorteos del 2008 hasta los actuales</t>
  </si>
  <si>
    <t>Ordenar Por: NÃºmero Cantidad salidas Fecha Ãºltima salida</t>
  </si>
  <si>
    <t>NÃºmero</t>
  </si>
  <si>
    <t>Cantidad de salidas</t>
  </si>
  <si>
    <t>DÃ­a Ãºltima salida</t>
  </si>
  <si>
    <t>Fijate si alguna vez salieron tus nÃºmeros en el Quini 6</t>
  </si>
  <si>
    <t>Ingresa los nÃºmeros</t>
  </si>
  <si>
    <t>Los sorteos especiales de navidad no son tenidos en cuenta para las estadÃ­sticas.</t>
  </si>
  <si>
    <t>Esto es solo para saber si los numeros fueron sorteados alguna vez, si lo que deseas es controlar tu boletaingresa aquÃ­</t>
  </si>
  <si>
    <t>Mejor estrategia para jugar al quini 6</t>
  </si>
  <si>
    <t>Como todos saben en el quini hay 46 bolillas las cuales, segÃºn la teorÃ­a, tienen exactamente la misma probabilidad de salir.</t>
  </si>
  <si>
    <t>Cuando se tira una moneda, hay dos posibilidades o que salga cara o que salga nÃºmero y cada una de esas posibilidades tiene la misma probabilidad (50 y 50 en este caso), debido a esto es de esperar que si realizamos un nÃºmero considerable de tiradas de la moneda saldrÃ¡n similares cantidad de veces cara y nÃºmero. Eso es mÃ¡s cierto a medida que se hacen mÃ¡s lanzamientos (pueden verificar ustedes mismos) o sea que mientras mÃ¡s veces tiremos la moneda mÃ¡s se emparejarÃ¡n las cantidades de veces que sale nÃºmero y cara.</t>
  </si>
  <si>
    <t>Para el caso del quini 6 se cumple lo mismo solo que las posibilidades no son dos sino 45. A medida que se van realizando mÃ¡s y mÃ¡s sorteos el nÃºmero de veces que sale cada nÃºmero se deberÃ­a ir emparejando.</t>
  </si>
  <si>
    <t>Por esto, si no tenemos ninguna mejor opciÃ³n, lo que podriamos hacer es jugar los nÃºmeros que hayan salido menos veces, ya que la cantidad de salidas tiende a emparejarse entre las 45 posibilidades.</t>
  </si>
  <si>
    <t>En la tabla de estadÃ­sticas de esta pÃ¡gina, pueden ordenar los nÃºmeros por cantidad de veces que salieron sorteados y asÃ­ intentar jugar los que hayan salido menos, no se hagan ilusiones que no es para nada la formula para ganar el quini 6. MÃ¡s bien tomenlo como una cÃ¡bala mÃ¡s o menos argumentada.</t>
  </si>
  <si>
    <t>MUCHA SUERTE!</t>
  </si>
  <si>
    <t>Jugar compulsivamente es perjudicial para la salud</t>
  </si>
  <si>
    <t>Quini 6 Resultados brinda un servicio gratuito de informaciÃ³n y no posee vinculaciÃ³n con organismos oficiales ni con los organizadores responsables de los respectivos sorteos. www.quini-6-resultados.com.ar se reserva el derecho de efectuar correcciones o completar la informaciÃ³n en cualquier momento. Bajo ninguna circunstancia www.quini-6-resultados.com.ar serÃ¡ responsable por los daÃ±os resultantes del empleo incorrecto de los programas y/o informaciÃ³n contenidos en este sitio.</t>
  </si>
  <si>
    <t>Â© 2024 Quini 6 Resultados | Politica de Cookies | Resultados en tu WEB</t>
  </si>
  <si>
    <t>Atraso Alto</t>
  </si>
  <si>
    <t>Freq Baja</t>
  </si>
  <si>
    <t>Freq Alta</t>
  </si>
  <si>
    <t>EspañaLoterías de España Reino UnidoLoterías de Reino Unido AlemaniaLoterías de Alemania Estados UnidosLoterías de Estados Unidos ItaliaLoterías de Italia BrasilLoterías de Brasil MexicoLoterías de Mexico ChileLoterías de Chile BélgicaLoterías de Bélgica ArgentinaLoterías de Argentina ColombiaLoterías de Colombia Costa RicaLoterías de Costa Rica PerúLoterías de Perú UruguayLoterías de Uruguay AustriaLoterías de Austria Costa De MarfilLoterías de Costa De Marfil CroaciaLoterías de Croacia FinlandiaLoterías de Finlandia HungríaLoterías de Hungría IslandiaLoterías de Islandia IrlandaLoterías de Irlanda KeniaLoterías de Kenia LetoniaLoterías de Letonia LuxemburgoLoterías de Luxemburgo MaltaLoterías de Malta MarruecosLoterías de Marruecos Países BajosLoterías de Países Bajos NigeriaLoterías de Nigeria NoruegaLoterías de Noruega PortugalLoterías de Portugal SerbiaLoterías de Serbia SudáfricaLoterías de Sudáfrica SuizaLoterías de Suiza UcraniaLoterías de Ucrania Emiratos ÁrabesLoterías de Emiratos árabes CanadáLoterías de Canadá AustraliaLoterías de Australia JapónLoterías de Japón FranciaLoterías de Francia PoloniaLoterías de Polonia EsloveniaLoterías de Eslovenia EslovaquiaLoterías de Eslovaquia DinamarcaLoterías de Dinamarca LituaniaLoterías de Lituania SueciaLoterías de Suecia EstoniaLoterías de Estonia República ChecaLoterías de República Checa</t>
  </si>
  <si>
    <t>Selecciona el país</t>
  </si>
  <si>
    <t>EspañaEspaña</t>
  </si>
  <si>
    <t>Reino UnidoReino Unido</t>
  </si>
  <si>
    <t>AlemaniaAlemania</t>
  </si>
  <si>
    <t>Estados UnidosEstados Unidos</t>
  </si>
  <si>
    <t>ItaliaItalia</t>
  </si>
  <si>
    <t>BrasilBrasil</t>
  </si>
  <si>
    <t>MexicoMexico</t>
  </si>
  <si>
    <t>ChileChile</t>
  </si>
  <si>
    <t>BélgicaBélgica</t>
  </si>
  <si>
    <t>ArgentinaArgentina</t>
  </si>
  <si>
    <t>ColombiaColombia</t>
  </si>
  <si>
    <t>Costa RicaCosta Rica</t>
  </si>
  <si>
    <t>PerúPerú</t>
  </si>
  <si>
    <t>UruguayUruguay</t>
  </si>
  <si>
    <t>AustriaAustria</t>
  </si>
  <si>
    <t>Costa De MarfilCosta De Marfil</t>
  </si>
  <si>
    <t>CroaciaCroacia</t>
  </si>
  <si>
    <t>FinlandiaFinlandia</t>
  </si>
  <si>
    <t>HungríaHungría</t>
  </si>
  <si>
    <t>IslandiaIslandia</t>
  </si>
  <si>
    <t>IrlandaIrlanda</t>
  </si>
  <si>
    <t>KeniaKenia</t>
  </si>
  <si>
    <t>LetoniaLetonia</t>
  </si>
  <si>
    <t>LuxemburgoLuxemburgo</t>
  </si>
  <si>
    <t>MaltaMalta</t>
  </si>
  <si>
    <t>MarruecosMarruecos</t>
  </si>
  <si>
    <t>Países BajosPaíses Bajos</t>
  </si>
  <si>
    <t>NigeriaNigeria</t>
  </si>
  <si>
    <t>NoruegaNoruega</t>
  </si>
  <si>
    <t>PortugalPortugal</t>
  </si>
  <si>
    <t>SerbiaSerbia</t>
  </si>
  <si>
    <t>SudáfricaSudáfrica</t>
  </si>
  <si>
    <t>SuizaSuiza</t>
  </si>
  <si>
    <t>UcraniaUcrania</t>
  </si>
  <si>
    <t>Emiratos ÁrabesEmiratos árabes</t>
  </si>
  <si>
    <t>CanadáCanadá</t>
  </si>
  <si>
    <t>AustraliaAustralia</t>
  </si>
  <si>
    <t>JapónJapón</t>
  </si>
  <si>
    <t>FranciaFrancia</t>
  </si>
  <si>
    <t>PoloniaPolonia</t>
  </si>
  <si>
    <t>EsloveniaEslovenia</t>
  </si>
  <si>
    <t>EslovaquiaEslovaquia</t>
  </si>
  <si>
    <t>DinamarcaDinamarca</t>
  </si>
  <si>
    <t>LituaniaLituania</t>
  </si>
  <si>
    <t>SueciaSuecia</t>
  </si>
  <si>
    <t>EstoniaEstonia</t>
  </si>
  <si>
    <t>República ChecaRepública Checa</t>
  </si>
  <si>
    <t>Bonoloto</t>
  </si>
  <si>
    <t>La Primitiva</t>
  </si>
  <si>
    <t>El Gordo</t>
  </si>
  <si>
    <t>Euromillones</t>
  </si>
  <si>
    <t>La Quiniela</t>
  </si>
  <si>
    <t>Lotería Nacional</t>
  </si>
  <si>
    <t>Lotería de Navidad</t>
  </si>
  <si>
    <t>Lotería del Niño</t>
  </si>
  <si>
    <t>Quinigol</t>
  </si>
  <si>
    <t>Lototurf</t>
  </si>
  <si>
    <t>Quintuple Plus</t>
  </si>
  <si>
    <t>ONCE</t>
  </si>
  <si>
    <t>SuperOnce</t>
  </si>
  <si>
    <t>Eurojackpot</t>
  </si>
  <si>
    <t>Eurodreams</t>
  </si>
  <si>
    <t>Lotto</t>
  </si>
  <si>
    <t>Euromillions</t>
  </si>
  <si>
    <t>Set for life</t>
  </si>
  <si>
    <t>Thunderball</t>
  </si>
  <si>
    <t>Lotto6aus49</t>
  </si>
  <si>
    <t>Glücksspirale</t>
  </si>
  <si>
    <t>Keno</t>
  </si>
  <si>
    <t>Powerball</t>
  </si>
  <si>
    <t>Megamillions</t>
  </si>
  <si>
    <t>Cash For Life</t>
  </si>
  <si>
    <t>Lotto America</t>
  </si>
  <si>
    <t>Lucky For Life</t>
  </si>
  <si>
    <t>New York Lotto</t>
  </si>
  <si>
    <t>Florida Lotto</t>
  </si>
  <si>
    <t>California SuperLotto Plus</t>
  </si>
  <si>
    <t>California Fantasy</t>
  </si>
  <si>
    <t>Wisconsin Megabucks</t>
  </si>
  <si>
    <t>Texas Lotto</t>
  </si>
  <si>
    <t>New Jersey Pick 6</t>
  </si>
  <si>
    <t>SuperEnalotto</t>
  </si>
  <si>
    <t>Mega-Sena</t>
  </si>
  <si>
    <t>Quina</t>
  </si>
  <si>
    <t>Lotofacil</t>
  </si>
  <si>
    <t>Lotomania</t>
  </si>
  <si>
    <t>Timemania</t>
  </si>
  <si>
    <t>Loteria Federal</t>
  </si>
  <si>
    <t>Loteca</t>
  </si>
  <si>
    <t>Dia de Sorte</t>
  </si>
  <si>
    <t>Dupla Sena</t>
  </si>
  <si>
    <t>Chispazo</t>
  </si>
  <si>
    <t>Melate</t>
  </si>
  <si>
    <t>Melate Retro</t>
  </si>
  <si>
    <t>Progol</t>
  </si>
  <si>
    <t>Progol 1/2 Semana</t>
  </si>
  <si>
    <t>Tris</t>
  </si>
  <si>
    <t>Loto</t>
  </si>
  <si>
    <t>Loto 3</t>
  </si>
  <si>
    <t>Loto 4</t>
  </si>
  <si>
    <t>Racha</t>
  </si>
  <si>
    <t>Al fin le Achunté</t>
  </si>
  <si>
    <t>Kino</t>
  </si>
  <si>
    <t>Kino 5</t>
  </si>
  <si>
    <t>Vikinglotto</t>
  </si>
  <si>
    <t>Loto Tradicional</t>
  </si>
  <si>
    <t>Loto 5</t>
  </si>
  <si>
    <t>Brinco</t>
  </si>
  <si>
    <t>Quini 6</t>
  </si>
  <si>
    <t>Baloto</t>
  </si>
  <si>
    <t>Baloto Revancha</t>
  </si>
  <si>
    <t>Boyacá</t>
  </si>
  <si>
    <t>Cruz Roja</t>
  </si>
  <si>
    <t>Cundimarca</t>
  </si>
  <si>
    <t>Loteria Del Valle</t>
  </si>
  <si>
    <t>bogotá</t>
  </si>
  <si>
    <t>Lotto Costa Rica</t>
  </si>
  <si>
    <t>3 Monazos</t>
  </si>
  <si>
    <t>Tiempos</t>
  </si>
  <si>
    <t>Ganadiario</t>
  </si>
  <si>
    <t>Kabala</t>
  </si>
  <si>
    <t>Tinka</t>
  </si>
  <si>
    <t>5 de Oro</t>
  </si>
  <si>
    <t>Lotto Austria</t>
  </si>
  <si>
    <t>Zahlenlotto</t>
  </si>
  <si>
    <t>Loto Bonheur</t>
  </si>
  <si>
    <t>Lotto 6/45</t>
  </si>
  <si>
    <t>Lotto 7</t>
  </si>
  <si>
    <t>Lotto Finlandia</t>
  </si>
  <si>
    <t>Hatoslotto</t>
  </si>
  <si>
    <t>Otoslotto</t>
  </si>
  <si>
    <t>Skandinav Lotto</t>
  </si>
  <si>
    <t>Joker</t>
  </si>
  <si>
    <t>Lotto Iceland</t>
  </si>
  <si>
    <t>Daily Million</t>
  </si>
  <si>
    <t>Lotto Irlanda</t>
  </si>
  <si>
    <t>Lotto Daily</t>
  </si>
  <si>
    <t>Lotto Mega Jackpot</t>
  </si>
  <si>
    <t>Latloto 5/35</t>
  </si>
  <si>
    <t>Dzokers</t>
  </si>
  <si>
    <t>High 5</t>
  </si>
  <si>
    <t>Lotto Luxemburgo</t>
  </si>
  <si>
    <t>Lotto Malta</t>
  </si>
  <si>
    <t>Super 5</t>
  </si>
  <si>
    <t>Pick 3</t>
  </si>
  <si>
    <t>Lotto Netherlands</t>
  </si>
  <si>
    <t>06 Lotto</t>
  </si>
  <si>
    <t>Bingo Lotto</t>
  </si>
  <si>
    <t>Bonanza Lotto</t>
  </si>
  <si>
    <t>Club Master Lotto</t>
  </si>
  <si>
    <t>Diamond Lotto</t>
  </si>
  <si>
    <t>Enugu Lotto</t>
  </si>
  <si>
    <t>Fair Chance Lotto</t>
  </si>
  <si>
    <t>Fortune Lotto</t>
  </si>
  <si>
    <t>Gold Lotto</t>
  </si>
  <si>
    <t>International Lotto</t>
  </si>
  <si>
    <t>Jackpot Lotto</t>
  </si>
  <si>
    <t>Lucky Lotto</t>
  </si>
  <si>
    <t>Mark II Lotto</t>
  </si>
  <si>
    <t>Metro Lotto</t>
  </si>
  <si>
    <t>Midweek Lotto</t>
  </si>
  <si>
    <t>National Lotto</t>
  </si>
  <si>
    <t>People Lotto</t>
  </si>
  <si>
    <t>Royal Lotto</t>
  </si>
  <si>
    <t>Super Lotto</t>
  </si>
  <si>
    <t>Total Lotto</t>
  </si>
  <si>
    <t>VAG Lotto</t>
  </si>
  <si>
    <t>Lotto Norway</t>
  </si>
  <si>
    <t>Totoloto</t>
  </si>
  <si>
    <t>Loto Serbia</t>
  </si>
  <si>
    <t>Daily Lotto</t>
  </si>
  <si>
    <t>Lotto South Africa</t>
  </si>
  <si>
    <t>Gold Rush Million</t>
  </si>
  <si>
    <t>Swiss Lotto</t>
  </si>
  <si>
    <t>Magic 3</t>
  </si>
  <si>
    <t>Magic 4</t>
  </si>
  <si>
    <t>Keno Ucrania</t>
  </si>
  <si>
    <t>Lotto Maxima</t>
  </si>
  <si>
    <t>Super Lotto Ucrania</t>
  </si>
  <si>
    <t>Lotto Tryika</t>
  </si>
  <si>
    <t>Mahzooz</t>
  </si>
  <si>
    <t>Daily Grand</t>
  </si>
  <si>
    <t>Lotto 6/49</t>
  </si>
  <si>
    <t>Lotto MAX</t>
  </si>
  <si>
    <t>Ontario 49</t>
  </si>
  <si>
    <t>Keno Canada</t>
  </si>
  <si>
    <t>Lottario</t>
  </si>
  <si>
    <t>Lighting Lotto</t>
  </si>
  <si>
    <t>Megadice Lotto</t>
  </si>
  <si>
    <t>Monday &amp; Wednesday Lotto</t>
  </si>
  <si>
    <t>Oz Lotto</t>
  </si>
  <si>
    <t>Powerball Australia</t>
  </si>
  <si>
    <t>Tattslotto</t>
  </si>
  <si>
    <t>Set For Life Australia</t>
  </si>
  <si>
    <t>Loto 6</t>
  </si>
  <si>
    <t>Loto 7</t>
  </si>
  <si>
    <t>Mini Lotto</t>
  </si>
  <si>
    <t>Lotto Polonia</t>
  </si>
  <si>
    <t>Loto Slovenia</t>
  </si>
  <si>
    <t>Eurojackpot Slovenia</t>
  </si>
  <si>
    <t>Vikinglotto Slovenia</t>
  </si>
  <si>
    <t>Loto Slovakia</t>
  </si>
  <si>
    <t>Keno 10</t>
  </si>
  <si>
    <t>Loto 5z35</t>
  </si>
  <si>
    <t>Eurojackpot Slovakia</t>
  </si>
  <si>
    <t>Euromilliony</t>
  </si>
  <si>
    <t>Combinación Ganadora</t>
  </si>
  <si>
    <t>Accede</t>
  </si>
  <si>
    <t>Jugar a Quini 6</t>
  </si>
  <si>
    <t>Bote de Megamillions</t>
  </si>
  <si>
    <t xml:space="preserve">millones de dólares </t>
  </si>
  <si>
    <t>JUGAR ONLINE</t>
  </si>
  <si>
    <t>Comprobar</t>
  </si>
  <si>
    <t>Pronosticador</t>
  </si>
  <si>
    <t>Jugar</t>
  </si>
  <si>
    <t>Resultados</t>
  </si>
  <si>
    <t>Estadísticas</t>
  </si>
  <si>
    <t>Noticias</t>
  </si>
  <si>
    <t>más</t>
  </si>
  <si>
    <t>Más</t>
  </si>
  <si>
    <t>Estadísticas de Quini 6</t>
  </si>
  <si>
    <t>Número de sorteos:</t>
  </si>
  <si>
    <t>Apariciones</t>
  </si>
  <si>
    <t>Número</t>
  </si>
  <si>
    <t>Promedio</t>
  </si>
  <si>
    <t>2.67%</t>
  </si>
  <si>
    <t>1.33%</t>
  </si>
  <si>
    <t>1.67%</t>
  </si>
  <si>
    <t>2.33%</t>
  </si>
  <si>
    <t>2.00%</t>
  </si>
  <si>
    <t>3.00%</t>
  </si>
  <si>
    <t>3.33%</t>
  </si>
  <si>
    <t>0.67%</t>
  </si>
  <si>
    <t>1.00%</t>
  </si>
  <si>
    <t>Altos y bajos de Quini 6</t>
  </si>
  <si>
    <t>Bajos</t>
  </si>
  <si>
    <t>Altos</t>
  </si>
  <si>
    <t>Pares e impares de Quini 6</t>
  </si>
  <si>
    <t>Pares</t>
  </si>
  <si>
    <t>Impares</t>
  </si>
  <si>
    <t>Apariciones por decena de Quini 6</t>
  </si>
  <si>
    <t>Decena</t>
  </si>
  <si>
    <t>0-10</t>
  </si>
  <si>
    <t>20-30</t>
  </si>
  <si>
    <t>30-40</t>
  </si>
  <si>
    <t>40-45</t>
  </si>
  <si>
    <t>Ausencias por número de Quini 6</t>
  </si>
  <si>
    <t>Ausencias</t>
  </si>
  <si>
    <t>2.10%</t>
  </si>
  <si>
    <t>2.30%</t>
  </si>
  <si>
    <t>2.25%</t>
  </si>
  <si>
    <t>2.15%</t>
  </si>
  <si>
    <t>2.20%</t>
  </si>
  <si>
    <t>2.05%</t>
  </si>
  <si>
    <t>2.40%</t>
  </si>
  <si>
    <t>2.35%</t>
  </si>
  <si>
    <t>Quiénes somos</t>
  </si>
  <si>
    <t>Botes</t>
  </si>
  <si>
    <t>Mapa</t>
  </si>
  <si>
    <t>Privacidad</t>
  </si>
  <si>
    <t>Cookies</t>
  </si>
  <si>
    <t>Widgets</t>
  </si>
  <si>
    <t>Aviso legal</t>
  </si>
  <si>
    <t>APP</t>
  </si>
  <si>
    <t>Combinación Ganadora en tu idioma</t>
  </si>
  <si>
    <t>enStatistics of Quini 6</t>
  </si>
  <si>
    <t>esEstadísticas de Quini 6</t>
  </si>
  <si>
    <t>ptEstatísticas de Quini 6</t>
  </si>
  <si>
    <t>deStatistik Quini 6</t>
  </si>
  <si>
    <t>Descarga la APP</t>
  </si>
  <si>
    <t>Descarga la APP de combinacionganadora para dispositivos AndroidDescarga la APP de combinacionganadora para iPhone/iPad</t>
  </si>
  <si>
    <t>Política de Cookies</t>
  </si>
  <si>
    <t>Utilizamos cookies propias y de terceros para mejorar nuestros servicios y mostrar publicidad relacionada con tus preferencias, analizando los hábitos de navegación. Si continúas navegando, consideramos que aceptas su uso. Configuración y más información en nuestra política de cookies</t>
  </si>
  <si>
    <t>Acepto</t>
  </si>
  <si>
    <t>No acepto</t>
  </si>
  <si>
    <t>cash-5</t>
  </si>
  <si>
    <t>Colorado Lotto+</t>
  </si>
  <si>
    <t>Pick 3 Colorado</t>
  </si>
  <si>
    <t>Millionaire For Life</t>
  </si>
  <si>
    <t>2.50%</t>
  </si>
  <si>
    <t>0.83%</t>
  </si>
  <si>
    <t>0.00%</t>
  </si>
  <si>
    <t>4.17%</t>
  </si>
  <si>
    <t>5.00%</t>
  </si>
  <si>
    <t>21.67%</t>
  </si>
  <si>
    <t>2.13%</t>
  </si>
  <si>
    <t>2.38%</t>
  </si>
  <si>
    <t>1.88%</t>
  </si>
  <si>
    <t>1.50%</t>
  </si>
  <si>
    <t>1.75%</t>
  </si>
  <si>
    <t>2.17%</t>
  </si>
  <si>
    <t>1.17%</t>
  </si>
  <si>
    <t>2.83%</t>
  </si>
  <si>
    <t>1.83%</t>
  </si>
  <si>
    <t>20.67%</t>
  </si>
  <si>
    <t>2.18%</t>
  </si>
  <si>
    <t>2.08%</t>
  </si>
  <si>
    <t>2.28%</t>
  </si>
  <si>
    <t>2.23%</t>
  </si>
  <si>
    <t>20.83%</t>
  </si>
  <si>
    <t>5.83%</t>
  </si>
  <si>
    <t>1.63%</t>
  </si>
  <si>
    <t>numero</t>
  </si>
  <si>
    <t>ap20</t>
  </si>
  <si>
    <t>au20</t>
  </si>
  <si>
    <t>sc20</t>
  </si>
  <si>
    <t>ap50</t>
  </si>
  <si>
    <t>au50</t>
  </si>
  <si>
    <t>sc50</t>
  </si>
  <si>
    <t>ap100</t>
  </si>
  <si>
    <t>au100</t>
  </si>
  <si>
    <t>sc100</t>
  </si>
  <si>
    <t>hist_ap</t>
  </si>
  <si>
    <t>ult_salida</t>
  </si>
  <si>
    <t>atraso</t>
  </si>
  <si>
    <t>grupo</t>
  </si>
  <si>
    <t>categoria</t>
  </si>
  <si>
    <t>Sábado, 25 julio 2026700.000€</t>
  </si>
  <si>
    <t>Sábado, 25 julio 202643.000.000€</t>
  </si>
  <si>
    <t>Domingo, 26 julio 202611.350.000€</t>
  </si>
  <si>
    <t>Martes, 28 julio 202678.000.000€</t>
  </si>
  <si>
    <t>Domingo, 26 julio 202625.000€</t>
  </si>
  <si>
    <t>Martes, 28 julio 202610.000.000€</t>
  </si>
  <si>
    <t>Sábado, 25 julio 20263.600.000£</t>
  </si>
  <si>
    <t>Martes, 28 julio 202667.000.000£</t>
  </si>
  <si>
    <t>Lunes, 27 julio 20263.600.000£</t>
  </si>
  <si>
    <t>Sábado, 25 julio 2026500.000£</t>
  </si>
  <si>
    <t>Sábado, 25 julio 20262.400.000€</t>
  </si>
  <si>
    <t>Sábado, 25 julio 2026600.000.000$</t>
  </si>
  <si>
    <t>Martes, 28 julio 2026800.000.000$</t>
  </si>
  <si>
    <t>Sábado, 25 julio 20262.100.000$</t>
  </si>
  <si>
    <t>Sábado, 25 julio 20263.100.000$</t>
  </si>
  <si>
    <t>Sábado, 25 julio 20263.500.000$</t>
  </si>
  <si>
    <t>Sábado, 25 julio 202640.000.000$</t>
  </si>
  <si>
    <t>Sábado, 25 julio 2026185.000$</t>
  </si>
  <si>
    <t>Sábado, 25 julio 20261.000.000$</t>
  </si>
  <si>
    <t>Sábado, 25 julio 202622.250.000$</t>
  </si>
  <si>
    <t>Lunes, 27 julio 20262.300.000$</t>
  </si>
  <si>
    <t>Sábado, 25 julio 202620.000$</t>
  </si>
  <si>
    <t>Sábado, 25 julio 20267.200.000$</t>
  </si>
  <si>
    <t>Sábado, 25 julio 2026199.600.000€</t>
  </si>
  <si>
    <t>Sábado, 25 julio 202622.000.000R$</t>
  </si>
  <si>
    <t>Sábado, 25 julio 20265.000.000R$</t>
  </si>
  <si>
    <t>Lunes, 27 julio 20263.600.000R$</t>
  </si>
  <si>
    <t>Sábado, 25 julio 20265.200.000R$</t>
  </si>
  <si>
    <t>Sábado, 25 julio 20261.200.000R$</t>
  </si>
  <si>
    <t>Lunes, 27 julio 20262.000.000R$</t>
  </si>
  <si>
    <t>Domingo, 26 julio 202636.200.000$</t>
  </si>
  <si>
    <t>Sábado, 25 julio 202621.300.000$</t>
  </si>
  <si>
    <t>Sábado, 25 julio 20264.294.967.295$</t>
  </si>
  <si>
    <t>Sábado, 25 julio 202695.000.000₡</t>
  </si>
  <si>
    <t>Sábado, 25 julio 2026200.000$</t>
  </si>
  <si>
    <t>Sábado, 25 julio 2026547.446$</t>
  </si>
  <si>
    <t>Domingo, 26 julio 202621.009.976$</t>
  </si>
  <si>
    <t>Domingo, 26 julio 20261.200.000€</t>
  </si>
  <si>
    <t>Sábado, 25 julio 20261.290.000.000Ft</t>
  </si>
  <si>
    <t>Miércoles, 29 julio 2026530.000.000Ft</t>
  </si>
  <si>
    <t>Sábado, 25 julio 202610.000.000kr</t>
  </si>
  <si>
    <t>Sábado, 25 julio 20261.000.000€</t>
  </si>
  <si>
    <t>Sábado, 25 julio 20268.200.000€</t>
  </si>
  <si>
    <t>Martes, 28 julio 202680.000.000€</t>
  </si>
  <si>
    <t>Sábado, 25 julio 2026100.000.000KSh</t>
  </si>
  <si>
    <t>Sábado, 25 julio 202650.000€</t>
  </si>
  <si>
    <t>Sábado, 25 julio 2026500.000€</t>
  </si>
  <si>
    <t>Sábado, 25 julio 202614.000.000kr</t>
  </si>
  <si>
    <t>Martes, 28 julio 202610.000.000kr</t>
  </si>
  <si>
    <t>Miércoles, 29 julio 202667.000.000kr</t>
  </si>
  <si>
    <t>Sábado, 25 julio 2026500.000R</t>
  </si>
  <si>
    <t>Sábado, 25 julio 20262.000.000R</t>
  </si>
  <si>
    <t>Martes, 28 julio 202645.000.000R</t>
  </si>
  <si>
    <t>Sábado, 25 julio 202614.500.000CHF</t>
  </si>
  <si>
    <t>Martes, 28 julio 202678.000.000CHF</t>
  </si>
  <si>
    <t>Sábado, 25 julio 202618.000.000₴</t>
  </si>
  <si>
    <t>Lunes, 27 julio 20261.000C$</t>
  </si>
  <si>
    <t>Sábado, 25 julio 20265.000.000C$</t>
  </si>
  <si>
    <t>Martes, 28 julio 202610.000.000C$</t>
  </si>
  <si>
    <t>Sábado, 25 julio 20262.000.000C$</t>
  </si>
  <si>
    <t>Sábado, 25 julio 20262.500.000C$</t>
  </si>
  <si>
    <t>Sábado, 25 julio 2026209.526C$</t>
  </si>
  <si>
    <t>Sábado, 25 julio 2026100.000C$</t>
  </si>
  <si>
    <t>Martes, 28 julio 202620.000.000A$</t>
  </si>
  <si>
    <t>Jueves, 30 julio 20265.000.000A$</t>
  </si>
  <si>
    <t>Sábado, 25 julio 202620.000.000A$</t>
  </si>
  <si>
    <t>Martes, 28 julio 202610.000.000¥</t>
  </si>
  <si>
    <t>Sábado, 25 julio 20262.000.000€</t>
  </si>
  <si>
    <t>Sábado, 25 julio 202616.000.000zł</t>
  </si>
  <si>
    <t>Sábado, 25 julio 2026500.000zł</t>
  </si>
  <si>
    <t>Domingo, 26 julio 2026100.000€</t>
  </si>
  <si>
    <t>Sábado, 25 julio 20265.000.000€</t>
  </si>
  <si>
    <t>Martes, 28 julio 2026</t>
  </si>
  <si>
    <t>Los sorteos de lotería como Quini 6 se suelen basar en la aleatoriedad de su resultado, siendo el azar el que determina la combinación ganadora. Esto hace que sea un juego justo, en el que no debe interferir ningún otro factor. Sin embargo, la suerte es caprichosa y en los sorteos suele haber números que aparecen más y otros menos. En las siguientes tabla se muestran estadísticas de los sorteos realizados en los últimos sorteos, con datos actualizados hasta el sorteo del día 22/07/2026.</t>
  </si>
  <si>
    <t>50.33%</t>
  </si>
  <si>
    <t>49.67%</t>
  </si>
  <si>
    <t>53.83%</t>
  </si>
  <si>
    <t>46.17%</t>
  </si>
  <si>
    <t>25.17%</t>
  </si>
  <si>
    <t>18.83%</t>
  </si>
  <si>
    <t>14.50%</t>
  </si>
  <si>
    <t>© 2004-2026 Bamio Network VB0.1004</t>
  </si>
  <si>
    <t>0.33%</t>
  </si>
  <si>
    <t>3.67%</t>
  </si>
  <si>
    <t>51.67%</t>
  </si>
  <si>
    <t>48.33%</t>
  </si>
  <si>
    <t>55.00%</t>
  </si>
  <si>
    <t>45.00%</t>
  </si>
  <si>
    <t>28.00%</t>
  </si>
  <si>
    <t>18.00%</t>
  </si>
  <si>
    <t>19.67%</t>
  </si>
  <si>
    <t>13.67%</t>
  </si>
  <si>
    <t>2.45%</t>
  </si>
  <si>
    <t>1.95%</t>
  </si>
  <si>
    <t>© 2004-2026 Bamio Network VB0.1638</t>
  </si>
  <si>
    <t>13.33%</t>
  </si>
  <si>
    <t>12.50%</t>
  </si>
  <si>
    <t>Lunes, 27 julio 20261.500.000€</t>
  </si>
  <si>
    <t>Lunes, 27 julio 202645.000.000€</t>
  </si>
  <si>
    <t>Domingo, 02 agosto 202611.900.000€</t>
  </si>
  <si>
    <t>Domingo, 02 agosto 202635.000€</t>
  </si>
  <si>
    <t>Miércoles, 29 julio 20264.400.000£</t>
  </si>
  <si>
    <t>Martes, 28 julio 2026500.000£</t>
  </si>
  <si>
    <t>Miércoles, 29 julio 202650.000.000€</t>
  </si>
  <si>
    <t>Lunes, 27 julio 2026633.000.000$</t>
  </si>
  <si>
    <t>Lunes, 27 julio 20262.150.000$</t>
  </si>
  <si>
    <t>Miércoles, 29 julio 20263.200.000$</t>
  </si>
  <si>
    <t>Miércoles, 29 julio 20264.000.000$</t>
  </si>
  <si>
    <t>Miércoles, 29 julio 202641.000.000$</t>
  </si>
  <si>
    <t>Lunes, 27 julio 202669.000$</t>
  </si>
  <si>
    <t>Miércoles, 29 julio 20261.000.000$</t>
  </si>
  <si>
    <t>Lunes, 27 julio 202622.750.000$</t>
  </si>
  <si>
    <t>Lunes, 27 julio 202620.000$</t>
  </si>
  <si>
    <t>Lunes, 27 julio 20267.400.000$</t>
  </si>
  <si>
    <t>Lunes, 27 julio 20261.000.000$</t>
  </si>
  <si>
    <t>Martes, 28 julio 2026200.500.000€</t>
  </si>
  <si>
    <t>Martes, 28 julio 202678.000.000R$</t>
  </si>
  <si>
    <t>Miércoles, 29 julio 202639.800.000$</t>
  </si>
  <si>
    <t>Martes, 28 julio 20265.000.000$</t>
  </si>
  <si>
    <t>Miércoles, 29 julio 20264.294.967.295$</t>
  </si>
  <si>
    <t>Lunes, 27 julio 20264.294.967.295$</t>
  </si>
  <si>
    <t>Lunes, 27 julio 2026100.000.000₡</t>
  </si>
  <si>
    <t>Lunes, 27 julio 2026200.000$</t>
  </si>
  <si>
    <t>Martes, 28 julio 2026600.166$</t>
  </si>
  <si>
    <t>Miércoles, 29 julio 20261.900.000€</t>
  </si>
  <si>
    <t>Jueves, 30 julio 2026630.000.000Ft</t>
  </si>
  <si>
    <t>Sábado, 01 agosto 20261.400.000.000Ft</t>
  </si>
  <si>
    <t>Lunes, 27 julio 20261.000.000€</t>
  </si>
  <si>
    <t>Miércoles, 29 julio 20262.000.000€</t>
  </si>
  <si>
    <t>Miércoles, 29 julio 2026100.000.000KSh</t>
  </si>
  <si>
    <t>Lunes, 27 julio 202650.000€</t>
  </si>
  <si>
    <t>Martes, 28 julio 2026500.000€</t>
  </si>
  <si>
    <t>Sábado, 01 agosto 202614.000.000kr</t>
  </si>
  <si>
    <t>Lunes, 27 julio 2026430.000R</t>
  </si>
  <si>
    <t>Miércoles, 29 julio 20264.000.000R</t>
  </si>
  <si>
    <t>Lunes, 27 julio 202618.000.000₴</t>
  </si>
  <si>
    <t>Lunes, 27 julio 20263.605.000₴</t>
  </si>
  <si>
    <t>Miércoles, 29 julio 202634.330.541₴</t>
  </si>
  <si>
    <t>Miércoles, 29 julio 20265.000.000C$</t>
  </si>
  <si>
    <t>Miércoles, 29 julio 20262.000.000C$</t>
  </si>
  <si>
    <t>Lunes, 27 julio 20262.500.000C$</t>
  </si>
  <si>
    <t>Lunes, 27 julio 2026214.879C$</t>
  </si>
  <si>
    <t>Lunes, 27 julio 2026100.000C$</t>
  </si>
  <si>
    <t>Lunes, 27 julio 20263.000.000€</t>
  </si>
  <si>
    <t>Martes, 28 julio 20262.000.000zł</t>
  </si>
  <si>
    <t>Lunes, 27 julio 2026500.000zł</t>
  </si>
  <si>
    <t>Miércoles, 29 julio 2026100.000€</t>
  </si>
  <si>
    <t>Miércoles, 29 julio 20261.239.657€</t>
  </si>
  <si>
    <t>Lunes, 27 julio 20265.000.000€</t>
  </si>
  <si>
    <t>Siguiente sorteo:</t>
  </si>
  <si>
    <t>4.294.967.2954.295,0M$</t>
  </si>
  <si>
    <t>Los sorteos de lotería como Quini 6 se suelen basar en la aleatoriedad de su resultado, siendo el azar el que determina la combinación ganadora. Esto hace que sea un juego justo, en el que no debe interferir ningún otro factor. Sin embargo, la suerte es caprichosa y en los sorteos suele haber números que aparecen más y otros menos. En las siguientes tabla se muestran estadísticas de los sorteos realizados en los últimos sorteos, con datos actualizados hasta el sorteo del día 26/07/2026.</t>
  </si>
  <si>
    <t>50.83%</t>
  </si>
  <si>
    <t>49.17%</t>
  </si>
  <si>
    <t>27.50%</t>
  </si>
  <si>
    <t>25.00%</t>
  </si>
  <si>
    <t>ESTA SEMANA BOTE DE</t>
  </si>
  <si>
    <t>4.294.967.295 $</t>
  </si>
  <si>
    <t>2d 7h 42m 1s</t>
  </si>
  <si>
    <t>© 2004-2026 Bamio Network VB0.1187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</si>
</sst>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7" fontId="0" fillId="0" borderId="0" xfId="0" applyNumberFormat="1"/>
    <xf numFmtId="49" fontId="0" fillId="0" borderId="0" xfId="0" applyNumberFormat="1"/>
    <xf numFmtId="17" fontId="0" fillId="0" borderId="0" xfId="0" quotePrefix="1" applyNumberFormat="1"/>
    <xf numFmtId="0" fontId="0" fillId="0" borderId="0" xfId="0"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xf>
    <xf numFmtId="1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name="quini6estadisticas"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nsorteos=100" connectionId="4"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estadisticas" connectionId="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nsorteos=20" connectionId="3"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Views>
    <sheetView topLeftCell="A13" workbookViewId="0">
      <selection activeCell="G24" sqref="G24"/>
    </sheetView>
  </sheetViews>
  <sheetFormatPr baseColWidth="10" defaultRowHeight="15" x14ac:dyDescent="0.25"/>
  <cols>
    <col min="1" max="1" width="81.140625" style="4" customWidth="1"/>
    <col min="2" max="3" width="18.140625" style="4" bestFit="1" customWidth="1"/>
  </cols>
  <sheetData>
    <row r="1" spans="1:3" hidden="1" x14ac:dyDescent="0.25">
      <c r="A1" s="4" t="s">
        <v>0</v>
      </c>
    </row>
    <row r="2" spans="1:3" hidden="1" x14ac:dyDescent="0.25">
      <c r="A2" s="4" t="s">
        <v>1</v>
      </c>
    </row>
    <row r="3" spans="1:3" hidden="1" x14ac:dyDescent="0.25">
      <c r="A3" s="4" t="s">
        <v>2</v>
      </c>
    </row>
    <row r="4" spans="1:3" hidden="1" x14ac:dyDescent="0.25">
      <c r="A4" s="4" t="s">
        <v>3</v>
      </c>
    </row>
    <row r="5" spans="1:3" hidden="1" x14ac:dyDescent="0.25">
      <c r="A5" s="4" t="s">
        <v>4</v>
      </c>
    </row>
    <row r="6" spans="1:3" hidden="1" x14ac:dyDescent="0.25">
      <c r="A6" s="4" t="s">
        <v>5</v>
      </c>
    </row>
    <row r="7" spans="1:3" hidden="1" x14ac:dyDescent="0.25">
      <c r="A7" s="4" t="s">
        <v>6</v>
      </c>
    </row>
    <row r="8" spans="1:3" hidden="1" x14ac:dyDescent="0.25">
      <c r="A8" s="4" t="s">
        <v>7</v>
      </c>
    </row>
    <row r="9" spans="1:3" hidden="1" x14ac:dyDescent="0.25">
      <c r="A9" s="4" t="s">
        <v>8</v>
      </c>
    </row>
    <row r="10" spans="1:3" hidden="1" x14ac:dyDescent="0.25">
      <c r="A10" s="4" t="s">
        <v>9</v>
      </c>
    </row>
    <row r="11" spans="1:3" hidden="1" x14ac:dyDescent="0.25">
      <c r="A11" s="4" t="s">
        <v>10</v>
      </c>
    </row>
    <row r="12" spans="1:3" hidden="1" x14ac:dyDescent="0.25">
      <c r="A12" s="4" t="s">
        <v>11</v>
      </c>
    </row>
    <row r="13" spans="1:3" s="4" customFormat="1" x14ac:dyDescent="0.25">
      <c r="A13" s="4" t="s">
        <v>12</v>
      </c>
      <c r="B13" s="4" t="s">
        <v>13</v>
      </c>
      <c r="C13" s="4" t="s">
        <v>14</v>
      </c>
    </row>
    <row r="14" spans="1:3" x14ac:dyDescent="0.25">
      <c r="A14" s="4">
        <v>0</v>
      </c>
      <c r="B14" s="4">
        <v>1007</v>
      </c>
      <c r="C14" s="7">
        <v>46225</v>
      </c>
    </row>
    <row r="15" spans="1:3" x14ac:dyDescent="0.25">
      <c r="A15" s="4">
        <v>1</v>
      </c>
      <c r="B15" s="4">
        <v>1052</v>
      </c>
      <c r="C15" s="7">
        <v>46225</v>
      </c>
    </row>
    <row r="16" spans="1:3" x14ac:dyDescent="0.25">
      <c r="A16" s="4">
        <v>2</v>
      </c>
      <c r="B16" s="4">
        <v>1083</v>
      </c>
      <c r="C16" s="7">
        <v>46225</v>
      </c>
    </row>
    <row r="17" spans="1:3" x14ac:dyDescent="0.25">
      <c r="A17" s="4">
        <v>3</v>
      </c>
      <c r="B17" s="4">
        <v>964</v>
      </c>
      <c r="C17" s="7">
        <v>46219</v>
      </c>
    </row>
    <row r="18" spans="1:3" x14ac:dyDescent="0.25">
      <c r="A18" s="4">
        <v>4</v>
      </c>
      <c r="B18" s="4">
        <v>1025</v>
      </c>
      <c r="C18" s="7">
        <v>46222</v>
      </c>
    </row>
    <row r="19" spans="1:3" x14ac:dyDescent="0.25">
      <c r="A19" s="4">
        <v>5</v>
      </c>
      <c r="B19" s="4">
        <v>1004</v>
      </c>
      <c r="C19" s="7">
        <v>46225</v>
      </c>
    </row>
    <row r="20" spans="1:3" x14ac:dyDescent="0.25">
      <c r="A20" s="4">
        <v>6</v>
      </c>
      <c r="B20" s="4">
        <v>1067</v>
      </c>
      <c r="C20" s="7">
        <v>46225</v>
      </c>
    </row>
    <row r="21" spans="1:3" x14ac:dyDescent="0.25">
      <c r="A21" s="4">
        <v>7</v>
      </c>
      <c r="B21" s="4">
        <v>982</v>
      </c>
      <c r="C21" s="7">
        <v>46225</v>
      </c>
    </row>
    <row r="22" spans="1:3" x14ac:dyDescent="0.25">
      <c r="A22" s="4">
        <v>8</v>
      </c>
      <c r="B22" s="4">
        <v>1058</v>
      </c>
      <c r="C22" s="7">
        <v>46225</v>
      </c>
    </row>
    <row r="23" spans="1:3" x14ac:dyDescent="0.25">
      <c r="A23" s="4">
        <v>9</v>
      </c>
      <c r="B23" s="4">
        <v>1157</v>
      </c>
      <c r="C23" s="7">
        <v>46208</v>
      </c>
    </row>
    <row r="24" spans="1:3" x14ac:dyDescent="0.25">
      <c r="A24" s="4">
        <v>10</v>
      </c>
      <c r="B24" s="4">
        <v>1074</v>
      </c>
      <c r="C24" s="7">
        <v>46225</v>
      </c>
    </row>
    <row r="25" spans="1:3" x14ac:dyDescent="0.25">
      <c r="A25" s="4">
        <v>11</v>
      </c>
      <c r="B25" s="4">
        <v>996</v>
      </c>
      <c r="C25" s="7">
        <v>46215</v>
      </c>
    </row>
    <row r="26" spans="1:3" x14ac:dyDescent="0.25">
      <c r="A26" s="4">
        <v>12</v>
      </c>
      <c r="B26" s="4">
        <v>990</v>
      </c>
      <c r="C26" s="7">
        <v>46201</v>
      </c>
    </row>
    <row r="27" spans="1:3" x14ac:dyDescent="0.25">
      <c r="A27" s="4">
        <v>13</v>
      </c>
      <c r="B27" s="4">
        <v>974</v>
      </c>
      <c r="C27" s="7">
        <v>46187</v>
      </c>
    </row>
    <row r="28" spans="1:3" x14ac:dyDescent="0.25">
      <c r="A28" s="4">
        <v>14</v>
      </c>
      <c r="B28" s="4">
        <v>979</v>
      </c>
      <c r="C28" s="7">
        <v>46222</v>
      </c>
    </row>
    <row r="29" spans="1:3" x14ac:dyDescent="0.25">
      <c r="A29" s="4">
        <v>15</v>
      </c>
      <c r="B29" s="4">
        <v>1127</v>
      </c>
      <c r="C29" s="7">
        <v>46211</v>
      </c>
    </row>
    <row r="30" spans="1:3" x14ac:dyDescent="0.25">
      <c r="A30" s="4">
        <v>16</v>
      </c>
      <c r="B30" s="4">
        <v>1078</v>
      </c>
      <c r="C30" s="7">
        <v>46219</v>
      </c>
    </row>
    <row r="31" spans="1:3" x14ac:dyDescent="0.25">
      <c r="A31" s="4">
        <v>17</v>
      </c>
      <c r="B31" s="4">
        <v>998</v>
      </c>
      <c r="C31" s="7">
        <v>46222</v>
      </c>
    </row>
    <row r="32" spans="1:3" x14ac:dyDescent="0.25">
      <c r="A32" s="4">
        <v>18</v>
      </c>
      <c r="B32" s="4">
        <v>972</v>
      </c>
      <c r="C32" s="7">
        <v>46225</v>
      </c>
    </row>
    <row r="33" spans="1:3" x14ac:dyDescent="0.25">
      <c r="A33" s="4">
        <v>19</v>
      </c>
      <c r="B33" s="4">
        <v>1215</v>
      </c>
      <c r="C33" s="7">
        <v>46222</v>
      </c>
    </row>
    <row r="34" spans="1:3" x14ac:dyDescent="0.25">
      <c r="A34" s="4">
        <v>20</v>
      </c>
      <c r="B34" s="4">
        <v>1119</v>
      </c>
      <c r="C34" s="7">
        <v>46225</v>
      </c>
    </row>
    <row r="35" spans="1:3" x14ac:dyDescent="0.25">
      <c r="A35" s="4">
        <v>21</v>
      </c>
      <c r="B35" s="4">
        <v>1002</v>
      </c>
      <c r="C35" s="7">
        <v>46222</v>
      </c>
    </row>
    <row r="36" spans="1:3" x14ac:dyDescent="0.25">
      <c r="A36" s="4">
        <v>22</v>
      </c>
      <c r="B36" s="4">
        <v>1136</v>
      </c>
      <c r="C36" s="7">
        <v>46219</v>
      </c>
    </row>
    <row r="37" spans="1:3" x14ac:dyDescent="0.25">
      <c r="A37" s="4">
        <v>23</v>
      </c>
      <c r="B37" s="4">
        <v>992</v>
      </c>
      <c r="C37" s="7">
        <v>46225</v>
      </c>
    </row>
    <row r="38" spans="1:3" x14ac:dyDescent="0.25">
      <c r="A38" s="4">
        <v>24</v>
      </c>
      <c r="B38" s="4">
        <v>1185</v>
      </c>
      <c r="C38" s="7">
        <v>46225</v>
      </c>
    </row>
    <row r="39" spans="1:3" x14ac:dyDescent="0.25">
      <c r="A39" s="4">
        <v>25</v>
      </c>
      <c r="B39" s="4">
        <v>987</v>
      </c>
      <c r="C39" s="7">
        <v>46222</v>
      </c>
    </row>
    <row r="40" spans="1:3" x14ac:dyDescent="0.25">
      <c r="A40" s="4">
        <v>26</v>
      </c>
      <c r="B40" s="4">
        <v>982</v>
      </c>
      <c r="C40" s="7">
        <v>46211</v>
      </c>
    </row>
    <row r="41" spans="1:3" x14ac:dyDescent="0.25">
      <c r="A41" s="4">
        <v>27</v>
      </c>
      <c r="B41" s="4">
        <v>980</v>
      </c>
      <c r="C41" s="7">
        <v>46222</v>
      </c>
    </row>
    <row r="42" spans="1:3" x14ac:dyDescent="0.25">
      <c r="A42" s="4">
        <v>28</v>
      </c>
      <c r="B42" s="4">
        <v>1095</v>
      </c>
      <c r="C42" s="7">
        <v>46222</v>
      </c>
    </row>
    <row r="43" spans="1:3" x14ac:dyDescent="0.25">
      <c r="A43" s="4">
        <v>29</v>
      </c>
      <c r="B43" s="4">
        <v>1062</v>
      </c>
      <c r="C43" s="7">
        <v>46222</v>
      </c>
    </row>
    <row r="44" spans="1:3" x14ac:dyDescent="0.25">
      <c r="A44" s="4">
        <v>30</v>
      </c>
      <c r="B44" s="4">
        <v>1009</v>
      </c>
      <c r="C44" s="7">
        <v>46225</v>
      </c>
    </row>
    <row r="45" spans="1:3" x14ac:dyDescent="0.25">
      <c r="A45" s="4">
        <v>31</v>
      </c>
      <c r="B45" s="4">
        <v>1093</v>
      </c>
      <c r="C45" s="7">
        <v>46225</v>
      </c>
    </row>
    <row r="46" spans="1:3" x14ac:dyDescent="0.25">
      <c r="A46" s="4">
        <v>32</v>
      </c>
      <c r="B46" s="4">
        <v>979</v>
      </c>
      <c r="C46" s="7">
        <v>46222</v>
      </c>
    </row>
    <row r="47" spans="1:3" x14ac:dyDescent="0.25">
      <c r="A47" s="4">
        <v>33</v>
      </c>
      <c r="B47" s="4">
        <v>994</v>
      </c>
      <c r="C47" s="7">
        <v>46222</v>
      </c>
    </row>
    <row r="48" spans="1:3" x14ac:dyDescent="0.25">
      <c r="A48" s="4">
        <v>34</v>
      </c>
      <c r="B48" s="4">
        <v>1092</v>
      </c>
      <c r="C48" s="7">
        <v>46225</v>
      </c>
    </row>
    <row r="49" spans="1:3" x14ac:dyDescent="0.25">
      <c r="A49" s="4">
        <v>35</v>
      </c>
      <c r="B49" s="4">
        <v>1106</v>
      </c>
      <c r="C49" s="7">
        <v>46204</v>
      </c>
    </row>
    <row r="50" spans="1:3" x14ac:dyDescent="0.25">
      <c r="A50" s="4">
        <v>36</v>
      </c>
      <c r="B50" s="4">
        <v>1145</v>
      </c>
      <c r="C50" s="7">
        <v>46225</v>
      </c>
    </row>
    <row r="51" spans="1:3" x14ac:dyDescent="0.25">
      <c r="A51" s="4">
        <v>37</v>
      </c>
      <c r="B51" s="4">
        <v>1205</v>
      </c>
      <c r="C51" s="7">
        <v>46219</v>
      </c>
    </row>
    <row r="52" spans="1:3" x14ac:dyDescent="0.25">
      <c r="A52" s="4">
        <v>38</v>
      </c>
      <c r="B52" s="4">
        <v>982</v>
      </c>
      <c r="C52" s="7">
        <v>46225</v>
      </c>
    </row>
    <row r="53" spans="1:3" x14ac:dyDescent="0.25">
      <c r="A53" s="4">
        <v>39</v>
      </c>
      <c r="B53" s="4">
        <v>957</v>
      </c>
      <c r="C53" s="7">
        <v>46219</v>
      </c>
    </row>
    <row r="54" spans="1:3" x14ac:dyDescent="0.25">
      <c r="A54" s="4">
        <v>40</v>
      </c>
      <c r="B54" s="4">
        <v>1074</v>
      </c>
      <c r="C54" s="7">
        <v>46215</v>
      </c>
    </row>
    <row r="55" spans="1:3" x14ac:dyDescent="0.25">
      <c r="A55" s="4">
        <v>41</v>
      </c>
      <c r="B55" s="4">
        <v>1094</v>
      </c>
      <c r="C55" s="7">
        <v>46225</v>
      </c>
    </row>
    <row r="56" spans="1:3" x14ac:dyDescent="0.25">
      <c r="A56" s="4">
        <v>42</v>
      </c>
      <c r="B56" s="4">
        <v>1018</v>
      </c>
      <c r="C56" s="7">
        <v>46225</v>
      </c>
    </row>
    <row r="57" spans="1:3" x14ac:dyDescent="0.25">
      <c r="A57" s="4">
        <v>43</v>
      </c>
      <c r="B57" s="4">
        <v>1305</v>
      </c>
      <c r="C57" s="7">
        <v>46225</v>
      </c>
    </row>
    <row r="58" spans="1:3" x14ac:dyDescent="0.25">
      <c r="A58" s="4">
        <v>44</v>
      </c>
      <c r="B58" s="4">
        <v>1080</v>
      </c>
      <c r="C58" s="7">
        <v>46225</v>
      </c>
    </row>
    <row r="59" spans="1:3" x14ac:dyDescent="0.25">
      <c r="A59" s="4">
        <v>45</v>
      </c>
      <c r="B59" s="4">
        <v>1002</v>
      </c>
      <c r="C59" s="7">
        <v>46225</v>
      </c>
    </row>
    <row r="60" spans="1:3" hidden="1" x14ac:dyDescent="0.25">
      <c r="A60" s="4" t="s">
        <v>15</v>
      </c>
    </row>
    <row r="61" spans="1:3" hidden="1" x14ac:dyDescent="0.25">
      <c r="A61" s="4" t="s">
        <v>16</v>
      </c>
    </row>
    <row r="62" spans="1:3" hidden="1" x14ac:dyDescent="0.25"/>
    <row r="63" spans="1:3" hidden="1" x14ac:dyDescent="0.25"/>
    <row r="64" spans="1:3" hidden="1" x14ac:dyDescent="0.25">
      <c r="A64" s="4" t="s">
        <v>17</v>
      </c>
    </row>
    <row r="65" spans="1:1" hidden="1" x14ac:dyDescent="0.25">
      <c r="A65" s="4" t="s">
        <v>18</v>
      </c>
    </row>
    <row r="66" spans="1:1" hidden="1" x14ac:dyDescent="0.25">
      <c r="A66" s="4" t="s">
        <v>19</v>
      </c>
    </row>
    <row r="67" spans="1:1" hidden="1" x14ac:dyDescent="0.25">
      <c r="A67" s="4" t="s">
        <v>20</v>
      </c>
    </row>
    <row r="68" spans="1:1" hidden="1" x14ac:dyDescent="0.25">
      <c r="A68" s="4" t="s">
        <v>21</v>
      </c>
    </row>
    <row r="69" spans="1:1" hidden="1" x14ac:dyDescent="0.25">
      <c r="A69" s="4" t="s">
        <v>22</v>
      </c>
    </row>
    <row r="70" spans="1:1" hidden="1" x14ac:dyDescent="0.25">
      <c r="A70" s="4" t="s">
        <v>23</v>
      </c>
    </row>
    <row r="71" spans="1:1" hidden="1" x14ac:dyDescent="0.25">
      <c r="A71" s="4" t="s">
        <v>24</v>
      </c>
    </row>
    <row r="72" spans="1:1" hidden="1" x14ac:dyDescent="0.25">
      <c r="A72" s="4" t="s">
        <v>25</v>
      </c>
    </row>
    <row r="73" spans="1:1" hidden="1" x14ac:dyDescent="0.25">
      <c r="A73" s="4" t="s">
        <v>26</v>
      </c>
    </row>
    <row r="74" spans="1:1" hidden="1" x14ac:dyDescent="0.25">
      <c r="A74" s="4" t="s">
        <v>27</v>
      </c>
    </row>
    <row r="75" spans="1:1" hidden="1" x14ac:dyDescent="0.25">
      <c r="A75" s="4" t="s">
        <v>28</v>
      </c>
    </row>
    <row r="76" spans="1:1" hidden="1"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9"/>
  <sheetViews>
    <sheetView topLeftCell="A386" workbookViewId="0">
      <selection activeCell="E390" sqref="E390"/>
    </sheetView>
  </sheetViews>
  <sheetFormatPr baseColWidth="10" defaultRowHeight="15" x14ac:dyDescent="0.25"/>
  <cols>
    <col min="1" max="1" width="8.28515625" customWidth="1"/>
    <col min="3" max="3" width="13.28515625" bestFit="1" customWidth="1"/>
    <col min="4" max="4" width="5.5703125" customWidth="1"/>
    <col min="5" max="5" width="10.7109375" customWidth="1"/>
    <col min="6" max="6" width="11" customWidth="1"/>
    <col min="7" max="7" width="8.140625" customWidth="1"/>
  </cols>
  <sheetData>
    <row r="1" spans="1:1" hidden="1" x14ac:dyDescent="0.25">
      <c r="A1" t="s">
        <v>32</v>
      </c>
    </row>
    <row r="2" spans="1:1" hidden="1" x14ac:dyDescent="0.25">
      <c r="A2" t="s">
        <v>33</v>
      </c>
    </row>
    <row r="3" spans="1:1" hidden="1" x14ac:dyDescent="0.25">
      <c r="A3" t="s">
        <v>34</v>
      </c>
    </row>
    <row r="4" spans="1:1" hidden="1" x14ac:dyDescent="0.25">
      <c r="A4" t="s">
        <v>35</v>
      </c>
    </row>
    <row r="5" spans="1:1" hidden="1" x14ac:dyDescent="0.25">
      <c r="A5" t="s">
        <v>36</v>
      </c>
    </row>
    <row r="6" spans="1:1" hidden="1" x14ac:dyDescent="0.25">
      <c r="A6" t="s">
        <v>37</v>
      </c>
    </row>
    <row r="7" spans="1:1" hidden="1" x14ac:dyDescent="0.25">
      <c r="A7" t="s">
        <v>38</v>
      </c>
    </row>
    <row r="8" spans="1:1" hidden="1" x14ac:dyDescent="0.25">
      <c r="A8" t="s">
        <v>39</v>
      </c>
    </row>
    <row r="9" spans="1:1" hidden="1" x14ac:dyDescent="0.25">
      <c r="A9" t="s">
        <v>40</v>
      </c>
    </row>
    <row r="10" spans="1:1" hidden="1" x14ac:dyDescent="0.25">
      <c r="A10" t="s">
        <v>41</v>
      </c>
    </row>
    <row r="11" spans="1:1" hidden="1" x14ac:dyDescent="0.25">
      <c r="A11" t="s">
        <v>42</v>
      </c>
    </row>
    <row r="12" spans="1:1" hidden="1" x14ac:dyDescent="0.25">
      <c r="A12" t="s">
        <v>43</v>
      </c>
    </row>
    <row r="13" spans="1:1" hidden="1" x14ac:dyDescent="0.25">
      <c r="A13" t="s">
        <v>44</v>
      </c>
    </row>
    <row r="14" spans="1:1" hidden="1" x14ac:dyDescent="0.25">
      <c r="A14" t="s">
        <v>45</v>
      </c>
    </row>
    <row r="15" spans="1:1" hidden="1" x14ac:dyDescent="0.25">
      <c r="A15" t="s">
        <v>46</v>
      </c>
    </row>
    <row r="16" spans="1:1" hidden="1" x14ac:dyDescent="0.25">
      <c r="A16" t="s">
        <v>47</v>
      </c>
    </row>
    <row r="17" spans="1:1" hidden="1" x14ac:dyDescent="0.25">
      <c r="A17" t="s">
        <v>48</v>
      </c>
    </row>
    <row r="18" spans="1:1" hidden="1" x14ac:dyDescent="0.25">
      <c r="A18" t="s">
        <v>49</v>
      </c>
    </row>
    <row r="19" spans="1:1" hidden="1" x14ac:dyDescent="0.25">
      <c r="A19" t="s">
        <v>50</v>
      </c>
    </row>
    <row r="20" spans="1:1" hidden="1" x14ac:dyDescent="0.25">
      <c r="A20" t="s">
        <v>51</v>
      </c>
    </row>
    <row r="21" spans="1:1" hidden="1" x14ac:dyDescent="0.25">
      <c r="A21" t="s">
        <v>52</v>
      </c>
    </row>
    <row r="22" spans="1:1" hidden="1" x14ac:dyDescent="0.25">
      <c r="A22" t="s">
        <v>53</v>
      </c>
    </row>
    <row r="23" spans="1:1" hidden="1" x14ac:dyDescent="0.25">
      <c r="A23" t="s">
        <v>54</v>
      </c>
    </row>
    <row r="24" spans="1:1" hidden="1" x14ac:dyDescent="0.25">
      <c r="A24" t="s">
        <v>55</v>
      </c>
    </row>
    <row r="25" spans="1:1" hidden="1" x14ac:dyDescent="0.25">
      <c r="A25" t="s">
        <v>56</v>
      </c>
    </row>
    <row r="26" spans="1:1" hidden="1" x14ac:dyDescent="0.25">
      <c r="A26" t="s">
        <v>57</v>
      </c>
    </row>
    <row r="27" spans="1:1" hidden="1" x14ac:dyDescent="0.25">
      <c r="A27" t="s">
        <v>58</v>
      </c>
    </row>
    <row r="28" spans="1:1" hidden="1" x14ac:dyDescent="0.25">
      <c r="A28" t="s">
        <v>59</v>
      </c>
    </row>
    <row r="29" spans="1:1" hidden="1" x14ac:dyDescent="0.25">
      <c r="A29" t="s">
        <v>60</v>
      </c>
    </row>
    <row r="30" spans="1:1" hidden="1" x14ac:dyDescent="0.25">
      <c r="A30" t="s">
        <v>61</v>
      </c>
    </row>
    <row r="31" spans="1:1" hidden="1" x14ac:dyDescent="0.25">
      <c r="A31" t="s">
        <v>62</v>
      </c>
    </row>
    <row r="32" spans="1:1" hidden="1" x14ac:dyDescent="0.25">
      <c r="A32" t="s">
        <v>63</v>
      </c>
    </row>
    <row r="33" spans="1:1" hidden="1" x14ac:dyDescent="0.25">
      <c r="A33" t="s">
        <v>64</v>
      </c>
    </row>
    <row r="34" spans="1:1" hidden="1" x14ac:dyDescent="0.25">
      <c r="A34" t="s">
        <v>65</v>
      </c>
    </row>
    <row r="35" spans="1:1" hidden="1" x14ac:dyDescent="0.25">
      <c r="A35" t="s">
        <v>66</v>
      </c>
    </row>
    <row r="36" spans="1:1" hidden="1" x14ac:dyDescent="0.25">
      <c r="A36" t="s">
        <v>67</v>
      </c>
    </row>
    <row r="37" spans="1:1" hidden="1" x14ac:dyDescent="0.25">
      <c r="A37" t="s">
        <v>68</v>
      </c>
    </row>
    <row r="38" spans="1:1" hidden="1" x14ac:dyDescent="0.25">
      <c r="A38" t="s">
        <v>69</v>
      </c>
    </row>
    <row r="39" spans="1:1" hidden="1" x14ac:dyDescent="0.25">
      <c r="A39" t="s">
        <v>70</v>
      </c>
    </row>
    <row r="40" spans="1:1" hidden="1" x14ac:dyDescent="0.25">
      <c r="A40" t="s">
        <v>71</v>
      </c>
    </row>
    <row r="41" spans="1:1" hidden="1" x14ac:dyDescent="0.25">
      <c r="A41" t="s">
        <v>72</v>
      </c>
    </row>
    <row r="42" spans="1:1" hidden="1" x14ac:dyDescent="0.25">
      <c r="A42" t="s">
        <v>73</v>
      </c>
    </row>
    <row r="43" spans="1:1" hidden="1" x14ac:dyDescent="0.25">
      <c r="A43" t="s">
        <v>74</v>
      </c>
    </row>
    <row r="44" spans="1:1" hidden="1" x14ac:dyDescent="0.25">
      <c r="A44" t="s">
        <v>75</v>
      </c>
    </row>
    <row r="45" spans="1:1" hidden="1" x14ac:dyDescent="0.25">
      <c r="A45" t="s">
        <v>76</v>
      </c>
    </row>
    <row r="46" spans="1:1" hidden="1" x14ac:dyDescent="0.25">
      <c r="A46" t="s">
        <v>77</v>
      </c>
    </row>
    <row r="47" spans="1:1" hidden="1" x14ac:dyDescent="0.25">
      <c r="A47" t="s">
        <v>78</v>
      </c>
    </row>
    <row r="48" spans="1:1" hidden="1" x14ac:dyDescent="0.25">
      <c r="A48" t="s">
        <v>79</v>
      </c>
    </row>
    <row r="49" spans="1:1" hidden="1" x14ac:dyDescent="0.25">
      <c r="A49" t="s">
        <v>80</v>
      </c>
    </row>
    <row r="50" spans="1:1" hidden="1" x14ac:dyDescent="0.25">
      <c r="A50" t="s">
        <v>81</v>
      </c>
    </row>
    <row r="51" spans="1:1" hidden="1" x14ac:dyDescent="0.25">
      <c r="A51" t="s">
        <v>351</v>
      </c>
    </row>
    <row r="52" spans="1:1" hidden="1" x14ac:dyDescent="0.25">
      <c r="A52" t="s">
        <v>82</v>
      </c>
    </row>
    <row r="53" spans="1:1" hidden="1" x14ac:dyDescent="0.25">
      <c r="A53" t="s">
        <v>352</v>
      </c>
    </row>
    <row r="54" spans="1:1" hidden="1" x14ac:dyDescent="0.25">
      <c r="A54" t="s">
        <v>83</v>
      </c>
    </row>
    <row r="55" spans="1:1" hidden="1" x14ac:dyDescent="0.25">
      <c r="A55" t="s">
        <v>353</v>
      </c>
    </row>
    <row r="56" spans="1:1" hidden="1" x14ac:dyDescent="0.25">
      <c r="A56" t="s">
        <v>84</v>
      </c>
    </row>
    <row r="57" spans="1:1" hidden="1" x14ac:dyDescent="0.25">
      <c r="A57" t="s">
        <v>354</v>
      </c>
    </row>
    <row r="58" spans="1:1" hidden="1" x14ac:dyDescent="0.25">
      <c r="A58" t="s">
        <v>85</v>
      </c>
    </row>
    <row r="59" spans="1:1" hidden="1" x14ac:dyDescent="0.25">
      <c r="A59" t="s">
        <v>86</v>
      </c>
    </row>
    <row r="60" spans="1:1" hidden="1" x14ac:dyDescent="0.25">
      <c r="A60" t="s">
        <v>87</v>
      </c>
    </row>
    <row r="61" spans="1:1" hidden="1" x14ac:dyDescent="0.25">
      <c r="A61" t="s">
        <v>88</v>
      </c>
    </row>
    <row r="62" spans="1:1" hidden="1" x14ac:dyDescent="0.25">
      <c r="A62" t="s">
        <v>89</v>
      </c>
    </row>
    <row r="63" spans="1:1" hidden="1" x14ac:dyDescent="0.25">
      <c r="A63" t="s">
        <v>355</v>
      </c>
    </row>
    <row r="64" spans="1:1" hidden="1" x14ac:dyDescent="0.25">
      <c r="A64" t="s">
        <v>90</v>
      </c>
    </row>
    <row r="65" spans="1:1" hidden="1" x14ac:dyDescent="0.25">
      <c r="A65" t="s">
        <v>91</v>
      </c>
    </row>
    <row r="66" spans="1:1" hidden="1" x14ac:dyDescent="0.25">
      <c r="A66" t="s">
        <v>92</v>
      </c>
    </row>
    <row r="67" spans="1:1" hidden="1" x14ac:dyDescent="0.25">
      <c r="A67" t="s">
        <v>93</v>
      </c>
    </row>
    <row r="68" spans="1:1" hidden="1" x14ac:dyDescent="0.25">
      <c r="A68" t="s">
        <v>94</v>
      </c>
    </row>
    <row r="69" spans="1:1" hidden="1" x14ac:dyDescent="0.25">
      <c r="A69" t="s">
        <v>356</v>
      </c>
    </row>
    <row r="70" spans="1:1" hidden="1" x14ac:dyDescent="0.25">
      <c r="A70" t="s">
        <v>95</v>
      </c>
    </row>
    <row r="71" spans="1:1" hidden="1" x14ac:dyDescent="0.25">
      <c r="A71" t="s">
        <v>96</v>
      </c>
    </row>
    <row r="72" spans="1:1" hidden="1" x14ac:dyDescent="0.25">
      <c r="A72" t="s">
        <v>357</v>
      </c>
    </row>
    <row r="73" spans="1:1" hidden="1" x14ac:dyDescent="0.25">
      <c r="A73" t="s">
        <v>97</v>
      </c>
    </row>
    <row r="74" spans="1:1" hidden="1" x14ac:dyDescent="0.25">
      <c r="A74" t="s">
        <v>358</v>
      </c>
    </row>
    <row r="75" spans="1:1" hidden="1" x14ac:dyDescent="0.25">
      <c r="A75" t="s">
        <v>98</v>
      </c>
    </row>
    <row r="76" spans="1:1" hidden="1" x14ac:dyDescent="0.25">
      <c r="A76" t="s">
        <v>359</v>
      </c>
    </row>
    <row r="77" spans="1:1" hidden="1" x14ac:dyDescent="0.25">
      <c r="A77" t="s">
        <v>99</v>
      </c>
    </row>
    <row r="78" spans="1:1" hidden="1" x14ac:dyDescent="0.25">
      <c r="A78" t="s">
        <v>360</v>
      </c>
    </row>
    <row r="79" spans="1:1" hidden="1" x14ac:dyDescent="0.25">
      <c r="A79" t="s">
        <v>100</v>
      </c>
    </row>
    <row r="80" spans="1:1" hidden="1" x14ac:dyDescent="0.25">
      <c r="A80" t="s">
        <v>94</v>
      </c>
    </row>
    <row r="81" spans="1:1" hidden="1" x14ac:dyDescent="0.25">
      <c r="A81" t="s">
        <v>356</v>
      </c>
    </row>
    <row r="82" spans="1:1" hidden="1" x14ac:dyDescent="0.25">
      <c r="A82" t="s">
        <v>101</v>
      </c>
    </row>
    <row r="83" spans="1:1" hidden="1" x14ac:dyDescent="0.25">
      <c r="A83" t="s">
        <v>361</v>
      </c>
    </row>
    <row r="84" spans="1:1" hidden="1" x14ac:dyDescent="0.25">
      <c r="A84" t="s">
        <v>102</v>
      </c>
    </row>
    <row r="85" spans="1:1" hidden="1" x14ac:dyDescent="0.25">
      <c r="A85" t="s">
        <v>103</v>
      </c>
    </row>
    <row r="86" spans="1:1" hidden="1" x14ac:dyDescent="0.25">
      <c r="A86" t="s">
        <v>362</v>
      </c>
    </row>
    <row r="87" spans="1:1" hidden="1" x14ac:dyDescent="0.25">
      <c r="A87" t="s">
        <v>104</v>
      </c>
    </row>
    <row r="88" spans="1:1" hidden="1" x14ac:dyDescent="0.25">
      <c r="A88" t="s">
        <v>363</v>
      </c>
    </row>
    <row r="89" spans="1:1" hidden="1" x14ac:dyDescent="0.25">
      <c r="A89" t="s">
        <v>105</v>
      </c>
    </row>
    <row r="90" spans="1:1" hidden="1" x14ac:dyDescent="0.25">
      <c r="A90" t="s">
        <v>106</v>
      </c>
    </row>
    <row r="91" spans="1:1" hidden="1" x14ac:dyDescent="0.25">
      <c r="A91" t="s">
        <v>364</v>
      </c>
    </row>
    <row r="92" spans="1:1" hidden="1" x14ac:dyDescent="0.25">
      <c r="A92" t="s">
        <v>107</v>
      </c>
    </row>
    <row r="93" spans="1:1" hidden="1" x14ac:dyDescent="0.25">
      <c r="A93" t="s">
        <v>108</v>
      </c>
    </row>
    <row r="94" spans="1:1" hidden="1" x14ac:dyDescent="0.25">
      <c r="A94" t="s">
        <v>365</v>
      </c>
    </row>
    <row r="95" spans="1:1" hidden="1" x14ac:dyDescent="0.25">
      <c r="A95" t="s">
        <v>109</v>
      </c>
    </row>
    <row r="96" spans="1:1" hidden="1" x14ac:dyDescent="0.25">
      <c r="A96" t="s">
        <v>366</v>
      </c>
    </row>
    <row r="97" spans="1:1" hidden="1" x14ac:dyDescent="0.25">
      <c r="A97" t="s">
        <v>110</v>
      </c>
    </row>
    <row r="98" spans="1:1" hidden="1" x14ac:dyDescent="0.25">
      <c r="A98" t="s">
        <v>367</v>
      </c>
    </row>
    <row r="99" spans="1:1" hidden="1" x14ac:dyDescent="0.25">
      <c r="A99" t="s">
        <v>111</v>
      </c>
    </row>
    <row r="100" spans="1:1" hidden="1" x14ac:dyDescent="0.25">
      <c r="A100" t="s">
        <v>368</v>
      </c>
    </row>
    <row r="101" spans="1:1" hidden="1" x14ac:dyDescent="0.25">
      <c r="A101" t="s">
        <v>112</v>
      </c>
    </row>
    <row r="102" spans="1:1" hidden="1" x14ac:dyDescent="0.25">
      <c r="A102" t="s">
        <v>369</v>
      </c>
    </row>
    <row r="103" spans="1:1" hidden="1" x14ac:dyDescent="0.25">
      <c r="A103" t="s">
        <v>113</v>
      </c>
    </row>
    <row r="104" spans="1:1" hidden="1" x14ac:dyDescent="0.25">
      <c r="A104" t="s">
        <v>370</v>
      </c>
    </row>
    <row r="105" spans="1:1" hidden="1" x14ac:dyDescent="0.25">
      <c r="A105" t="s">
        <v>114</v>
      </c>
    </row>
    <row r="106" spans="1:1" hidden="1" x14ac:dyDescent="0.25">
      <c r="A106" t="s">
        <v>371</v>
      </c>
    </row>
    <row r="107" spans="1:1" hidden="1" x14ac:dyDescent="0.25">
      <c r="A107" t="s">
        <v>309</v>
      </c>
    </row>
    <row r="108" spans="1:1" hidden="1" x14ac:dyDescent="0.25">
      <c r="A108" t="s">
        <v>372</v>
      </c>
    </row>
    <row r="109" spans="1:1" hidden="1" x14ac:dyDescent="0.25">
      <c r="A109" t="s">
        <v>310</v>
      </c>
    </row>
    <row r="110" spans="1:1" hidden="1" x14ac:dyDescent="0.25">
      <c r="A110" t="s">
        <v>373</v>
      </c>
    </row>
    <row r="111" spans="1:1" hidden="1" x14ac:dyDescent="0.25">
      <c r="A111" t="s">
        <v>311</v>
      </c>
    </row>
    <row r="112" spans="1:1" hidden="1" x14ac:dyDescent="0.25">
      <c r="A112" t="s">
        <v>312</v>
      </c>
    </row>
    <row r="113" spans="1:1" hidden="1" x14ac:dyDescent="0.25">
      <c r="A113" t="s">
        <v>369</v>
      </c>
    </row>
    <row r="114" spans="1:1" hidden="1" x14ac:dyDescent="0.25">
      <c r="A114" t="s">
        <v>115</v>
      </c>
    </row>
    <row r="115" spans="1:1" hidden="1" x14ac:dyDescent="0.25">
      <c r="A115" t="s">
        <v>374</v>
      </c>
    </row>
    <row r="116" spans="1:1" hidden="1" x14ac:dyDescent="0.25">
      <c r="A116" t="s">
        <v>94</v>
      </c>
    </row>
    <row r="117" spans="1:1" hidden="1" x14ac:dyDescent="0.25">
      <c r="A117" t="s">
        <v>356</v>
      </c>
    </row>
    <row r="118" spans="1:1" hidden="1" x14ac:dyDescent="0.25">
      <c r="A118" t="s">
        <v>116</v>
      </c>
    </row>
    <row r="119" spans="1:1" hidden="1" x14ac:dyDescent="0.25">
      <c r="A119" t="s">
        <v>117</v>
      </c>
    </row>
    <row r="120" spans="1:1" hidden="1" x14ac:dyDescent="0.25">
      <c r="A120" t="s">
        <v>375</v>
      </c>
    </row>
    <row r="121" spans="1:1" hidden="1" x14ac:dyDescent="0.25">
      <c r="A121" t="s">
        <v>118</v>
      </c>
    </row>
    <row r="122" spans="1:1" hidden="1" x14ac:dyDescent="0.25">
      <c r="A122" t="s">
        <v>376</v>
      </c>
    </row>
    <row r="123" spans="1:1" hidden="1" x14ac:dyDescent="0.25">
      <c r="A123" t="s">
        <v>119</v>
      </c>
    </row>
    <row r="124" spans="1:1" hidden="1" x14ac:dyDescent="0.25">
      <c r="A124" t="s">
        <v>377</v>
      </c>
    </row>
    <row r="125" spans="1:1" hidden="1" x14ac:dyDescent="0.25">
      <c r="A125" t="s">
        <v>120</v>
      </c>
    </row>
    <row r="126" spans="1:1" hidden="1" x14ac:dyDescent="0.25">
      <c r="A126" t="s">
        <v>378</v>
      </c>
    </row>
    <row r="127" spans="1:1" hidden="1" x14ac:dyDescent="0.25">
      <c r="A127" t="s">
        <v>121</v>
      </c>
    </row>
    <row r="128" spans="1:1" hidden="1" x14ac:dyDescent="0.25">
      <c r="A128" t="s">
        <v>122</v>
      </c>
    </row>
    <row r="129" spans="1:1" hidden="1" x14ac:dyDescent="0.25">
      <c r="A129" t="s">
        <v>379</v>
      </c>
    </row>
    <row r="130" spans="1:1" hidden="1" x14ac:dyDescent="0.25">
      <c r="A130" t="s">
        <v>123</v>
      </c>
    </row>
    <row r="131" spans="1:1" hidden="1" x14ac:dyDescent="0.25">
      <c r="A131" t="s">
        <v>124</v>
      </c>
    </row>
    <row r="132" spans="1:1" hidden="1" x14ac:dyDescent="0.25">
      <c r="A132" t="s">
        <v>380</v>
      </c>
    </row>
    <row r="133" spans="1:1" hidden="1" x14ac:dyDescent="0.25">
      <c r="A133" t="s">
        <v>125</v>
      </c>
    </row>
    <row r="134" spans="1:1" hidden="1" x14ac:dyDescent="0.25">
      <c r="A134" t="s">
        <v>126</v>
      </c>
    </row>
    <row r="135" spans="1:1" hidden="1" x14ac:dyDescent="0.25">
      <c r="A135" t="s">
        <v>381</v>
      </c>
    </row>
    <row r="136" spans="1:1" hidden="1" x14ac:dyDescent="0.25">
      <c r="A136" t="s">
        <v>127</v>
      </c>
    </row>
    <row r="137" spans="1:1" hidden="1" x14ac:dyDescent="0.25">
      <c r="A137" t="s">
        <v>382</v>
      </c>
    </row>
    <row r="138" spans="1:1" hidden="1" x14ac:dyDescent="0.25">
      <c r="A138" t="s">
        <v>128</v>
      </c>
    </row>
    <row r="139" spans="1:1" hidden="1" x14ac:dyDescent="0.25">
      <c r="A139" t="s">
        <v>129</v>
      </c>
    </row>
    <row r="140" spans="1:1" hidden="1" x14ac:dyDescent="0.25">
      <c r="A140" t="s">
        <v>130</v>
      </c>
    </row>
    <row r="141" spans="1:1" hidden="1" x14ac:dyDescent="0.25">
      <c r="A141" t="s">
        <v>131</v>
      </c>
    </row>
    <row r="142" spans="1:1" hidden="1" x14ac:dyDescent="0.25">
      <c r="A142" t="s">
        <v>132</v>
      </c>
    </row>
    <row r="143" spans="1:1" hidden="1" x14ac:dyDescent="0.25">
      <c r="A143" t="s">
        <v>133</v>
      </c>
    </row>
    <row r="144" spans="1:1" hidden="1" x14ac:dyDescent="0.25">
      <c r="A144" t="s">
        <v>134</v>
      </c>
    </row>
    <row r="145" spans="1:1" hidden="1" x14ac:dyDescent="0.25">
      <c r="A145" t="s">
        <v>135</v>
      </c>
    </row>
    <row r="146" spans="1:1" hidden="1" x14ac:dyDescent="0.25">
      <c r="A146" t="s">
        <v>136</v>
      </c>
    </row>
    <row r="147" spans="1:1" hidden="1" x14ac:dyDescent="0.25">
      <c r="A147" t="s">
        <v>137</v>
      </c>
    </row>
    <row r="148" spans="1:1" hidden="1" x14ac:dyDescent="0.25">
      <c r="A148" t="s">
        <v>97</v>
      </c>
    </row>
    <row r="149" spans="1:1" hidden="1" x14ac:dyDescent="0.25">
      <c r="A149" t="s">
        <v>138</v>
      </c>
    </row>
    <row r="150" spans="1:1" hidden="1" x14ac:dyDescent="0.25">
      <c r="A150" t="s">
        <v>139</v>
      </c>
    </row>
    <row r="151" spans="1:1" hidden="1" x14ac:dyDescent="0.25">
      <c r="A151" t="s">
        <v>140</v>
      </c>
    </row>
    <row r="152" spans="1:1" hidden="1" x14ac:dyDescent="0.25">
      <c r="A152" t="s">
        <v>141</v>
      </c>
    </row>
    <row r="153" spans="1:1" hidden="1" x14ac:dyDescent="0.25">
      <c r="A153" t="s">
        <v>142</v>
      </c>
    </row>
    <row r="154" spans="1:1" hidden="1" x14ac:dyDescent="0.25">
      <c r="A154" t="s">
        <v>143</v>
      </c>
    </row>
    <row r="155" spans="1:1" hidden="1" x14ac:dyDescent="0.25">
      <c r="A155" t="s">
        <v>383</v>
      </c>
    </row>
    <row r="156" spans="1:1" hidden="1" x14ac:dyDescent="0.25">
      <c r="A156" t="s">
        <v>144</v>
      </c>
    </row>
    <row r="157" spans="1:1" hidden="1" x14ac:dyDescent="0.25">
      <c r="A157" t="s">
        <v>383</v>
      </c>
    </row>
    <row r="158" spans="1:1" hidden="1" x14ac:dyDescent="0.25">
      <c r="A158" t="s">
        <v>145</v>
      </c>
    </row>
    <row r="159" spans="1:1" hidden="1" x14ac:dyDescent="0.25">
      <c r="A159" t="s">
        <v>146</v>
      </c>
    </row>
    <row r="160" spans="1:1" hidden="1" x14ac:dyDescent="0.25">
      <c r="A160" t="s">
        <v>147</v>
      </c>
    </row>
    <row r="161" spans="1:1" hidden="1" x14ac:dyDescent="0.25">
      <c r="A161" t="s">
        <v>148</v>
      </c>
    </row>
    <row r="162" spans="1:1" hidden="1" x14ac:dyDescent="0.25">
      <c r="A162" t="s">
        <v>149</v>
      </c>
    </row>
    <row r="163" spans="1:1" hidden="1" x14ac:dyDescent="0.25">
      <c r="A163" t="s">
        <v>150</v>
      </c>
    </row>
    <row r="164" spans="1:1" hidden="1" x14ac:dyDescent="0.25">
      <c r="A164" t="s">
        <v>384</v>
      </c>
    </row>
    <row r="165" spans="1:1" hidden="1" x14ac:dyDescent="0.25">
      <c r="A165" t="s">
        <v>151</v>
      </c>
    </row>
    <row r="166" spans="1:1" hidden="1" x14ac:dyDescent="0.25">
      <c r="A166" t="s">
        <v>152</v>
      </c>
    </row>
    <row r="167" spans="1:1" hidden="1" x14ac:dyDescent="0.25">
      <c r="A167" t="s">
        <v>153</v>
      </c>
    </row>
    <row r="168" spans="1:1" hidden="1" x14ac:dyDescent="0.25">
      <c r="A168" t="s">
        <v>385</v>
      </c>
    </row>
    <row r="169" spans="1:1" hidden="1" x14ac:dyDescent="0.25">
      <c r="A169" t="s">
        <v>154</v>
      </c>
    </row>
    <row r="170" spans="1:1" hidden="1" x14ac:dyDescent="0.25">
      <c r="A170" t="s">
        <v>386</v>
      </c>
    </row>
    <row r="171" spans="1:1" hidden="1" x14ac:dyDescent="0.25">
      <c r="A171" t="s">
        <v>155</v>
      </c>
    </row>
    <row r="172" spans="1:1" hidden="1" x14ac:dyDescent="0.25">
      <c r="A172" t="s">
        <v>387</v>
      </c>
    </row>
    <row r="173" spans="1:1" hidden="1" x14ac:dyDescent="0.25">
      <c r="A173" t="s">
        <v>156</v>
      </c>
    </row>
    <row r="174" spans="1:1" hidden="1" x14ac:dyDescent="0.25">
      <c r="A174" t="s">
        <v>157</v>
      </c>
    </row>
    <row r="175" spans="1:1" hidden="1" x14ac:dyDescent="0.25">
      <c r="A175" t="s">
        <v>388</v>
      </c>
    </row>
    <row r="176" spans="1:1" hidden="1" x14ac:dyDescent="0.25">
      <c r="A176" t="s">
        <v>158</v>
      </c>
    </row>
    <row r="177" spans="1:1" hidden="1" x14ac:dyDescent="0.25">
      <c r="A177" t="s">
        <v>97</v>
      </c>
    </row>
    <row r="178" spans="1:1" hidden="1" x14ac:dyDescent="0.25">
      <c r="A178" t="s">
        <v>354</v>
      </c>
    </row>
    <row r="179" spans="1:1" hidden="1" x14ac:dyDescent="0.25">
      <c r="A179" t="s">
        <v>159</v>
      </c>
    </row>
    <row r="180" spans="1:1" hidden="1" x14ac:dyDescent="0.25">
      <c r="A180" t="s">
        <v>160</v>
      </c>
    </row>
    <row r="181" spans="1:1" hidden="1" x14ac:dyDescent="0.25">
      <c r="A181" t="s">
        <v>161</v>
      </c>
    </row>
    <row r="182" spans="1:1" hidden="1" x14ac:dyDescent="0.25">
      <c r="A182" t="s">
        <v>94</v>
      </c>
    </row>
    <row r="183" spans="1:1" hidden="1" x14ac:dyDescent="0.25">
      <c r="A183" t="s">
        <v>356</v>
      </c>
    </row>
    <row r="184" spans="1:1" hidden="1" x14ac:dyDescent="0.25">
      <c r="A184" t="s">
        <v>162</v>
      </c>
    </row>
    <row r="185" spans="1:1" hidden="1" x14ac:dyDescent="0.25">
      <c r="A185" t="s">
        <v>94</v>
      </c>
    </row>
    <row r="186" spans="1:1" hidden="1" x14ac:dyDescent="0.25">
      <c r="A186" t="s">
        <v>356</v>
      </c>
    </row>
    <row r="187" spans="1:1" hidden="1" x14ac:dyDescent="0.25">
      <c r="A187" t="s">
        <v>138</v>
      </c>
    </row>
    <row r="188" spans="1:1" hidden="1" x14ac:dyDescent="0.25">
      <c r="A188" t="s">
        <v>163</v>
      </c>
    </row>
    <row r="189" spans="1:1" hidden="1" x14ac:dyDescent="0.25">
      <c r="A189" t="s">
        <v>164</v>
      </c>
    </row>
    <row r="190" spans="1:1" hidden="1" x14ac:dyDescent="0.25">
      <c r="A190" t="s">
        <v>389</v>
      </c>
    </row>
    <row r="191" spans="1:1" hidden="1" x14ac:dyDescent="0.25">
      <c r="A191" t="s">
        <v>165</v>
      </c>
    </row>
    <row r="192" spans="1:1" hidden="1" x14ac:dyDescent="0.25">
      <c r="A192" t="s">
        <v>390</v>
      </c>
    </row>
    <row r="193" spans="1:1" hidden="1" x14ac:dyDescent="0.25">
      <c r="A193" t="s">
        <v>166</v>
      </c>
    </row>
    <row r="194" spans="1:1" hidden="1" x14ac:dyDescent="0.25">
      <c r="A194" t="s">
        <v>94</v>
      </c>
    </row>
    <row r="195" spans="1:1" hidden="1" x14ac:dyDescent="0.25">
      <c r="A195" t="s">
        <v>356</v>
      </c>
    </row>
    <row r="196" spans="1:1" hidden="1" x14ac:dyDescent="0.25">
      <c r="A196" t="s">
        <v>167</v>
      </c>
    </row>
    <row r="197" spans="1:1" hidden="1" x14ac:dyDescent="0.25">
      <c r="A197" t="s">
        <v>391</v>
      </c>
    </row>
    <row r="198" spans="1:1" hidden="1" x14ac:dyDescent="0.25">
      <c r="A198" t="s">
        <v>138</v>
      </c>
    </row>
    <row r="199" spans="1:1" hidden="1" x14ac:dyDescent="0.25">
      <c r="A199" t="s">
        <v>94</v>
      </c>
    </row>
    <row r="200" spans="1:1" hidden="1" x14ac:dyDescent="0.25">
      <c r="A200" t="s">
        <v>356</v>
      </c>
    </row>
    <row r="201" spans="1:1" hidden="1" x14ac:dyDescent="0.25">
      <c r="A201" t="s">
        <v>168</v>
      </c>
    </row>
    <row r="202" spans="1:1" hidden="1" x14ac:dyDescent="0.25">
      <c r="A202" t="s">
        <v>392</v>
      </c>
    </row>
    <row r="203" spans="1:1" hidden="1" x14ac:dyDescent="0.25">
      <c r="A203" t="s">
        <v>169</v>
      </c>
    </row>
    <row r="204" spans="1:1" hidden="1" x14ac:dyDescent="0.25">
      <c r="A204" t="s">
        <v>393</v>
      </c>
    </row>
    <row r="205" spans="1:1" hidden="1" x14ac:dyDescent="0.25">
      <c r="A205" t="s">
        <v>97</v>
      </c>
    </row>
    <row r="206" spans="1:1" hidden="1" x14ac:dyDescent="0.25">
      <c r="A206" t="s">
        <v>394</v>
      </c>
    </row>
    <row r="207" spans="1:1" hidden="1" x14ac:dyDescent="0.25">
      <c r="A207" t="s">
        <v>170</v>
      </c>
    </row>
    <row r="208" spans="1:1" hidden="1" x14ac:dyDescent="0.25">
      <c r="A208" t="s">
        <v>171</v>
      </c>
    </row>
    <row r="209" spans="1:1" hidden="1" x14ac:dyDescent="0.25">
      <c r="A209" t="s">
        <v>395</v>
      </c>
    </row>
    <row r="210" spans="1:1" hidden="1" x14ac:dyDescent="0.25">
      <c r="A210" t="s">
        <v>172</v>
      </c>
    </row>
    <row r="211" spans="1:1" hidden="1" x14ac:dyDescent="0.25">
      <c r="A211" t="s">
        <v>173</v>
      </c>
    </row>
    <row r="212" spans="1:1" hidden="1" x14ac:dyDescent="0.25">
      <c r="A212" t="s">
        <v>94</v>
      </c>
    </row>
    <row r="213" spans="1:1" hidden="1" x14ac:dyDescent="0.25">
      <c r="A213" t="s">
        <v>356</v>
      </c>
    </row>
    <row r="214" spans="1:1" hidden="1" x14ac:dyDescent="0.25">
      <c r="A214" t="s">
        <v>138</v>
      </c>
    </row>
    <row r="215" spans="1:1" hidden="1" x14ac:dyDescent="0.25">
      <c r="A215" t="s">
        <v>174</v>
      </c>
    </row>
    <row r="216" spans="1:1" hidden="1" x14ac:dyDescent="0.25">
      <c r="A216" t="s">
        <v>396</v>
      </c>
    </row>
    <row r="217" spans="1:1" hidden="1" x14ac:dyDescent="0.25">
      <c r="A217" t="s">
        <v>175</v>
      </c>
    </row>
    <row r="218" spans="1:1" hidden="1" x14ac:dyDescent="0.25">
      <c r="A218" t="s">
        <v>97</v>
      </c>
    </row>
    <row r="219" spans="1:1" hidden="1" x14ac:dyDescent="0.25">
      <c r="A219" t="s">
        <v>354</v>
      </c>
    </row>
    <row r="220" spans="1:1" hidden="1" x14ac:dyDescent="0.25">
      <c r="A220" t="s">
        <v>176</v>
      </c>
    </row>
    <row r="221" spans="1:1" hidden="1" x14ac:dyDescent="0.25">
      <c r="A221" t="s">
        <v>397</v>
      </c>
    </row>
    <row r="222" spans="1:1" hidden="1" x14ac:dyDescent="0.25">
      <c r="A222" t="s">
        <v>177</v>
      </c>
    </row>
    <row r="223" spans="1:1" hidden="1" x14ac:dyDescent="0.25">
      <c r="A223" t="s">
        <v>178</v>
      </c>
    </row>
    <row r="224" spans="1:1" hidden="1" x14ac:dyDescent="0.25">
      <c r="A224" t="s">
        <v>96</v>
      </c>
    </row>
    <row r="225" spans="1:1" hidden="1" x14ac:dyDescent="0.25">
      <c r="A225" t="s">
        <v>179</v>
      </c>
    </row>
    <row r="226" spans="1:1" hidden="1" x14ac:dyDescent="0.25">
      <c r="A226" t="s">
        <v>94</v>
      </c>
    </row>
    <row r="227" spans="1:1" hidden="1" x14ac:dyDescent="0.25">
      <c r="A227" t="s">
        <v>356</v>
      </c>
    </row>
    <row r="228" spans="1:1" hidden="1" x14ac:dyDescent="0.25">
      <c r="A228" t="s">
        <v>180</v>
      </c>
    </row>
    <row r="229" spans="1:1" hidden="1" x14ac:dyDescent="0.25">
      <c r="A229" t="s">
        <v>181</v>
      </c>
    </row>
    <row r="230" spans="1:1" hidden="1" x14ac:dyDescent="0.25">
      <c r="A230" t="s">
        <v>182</v>
      </c>
    </row>
    <row r="231" spans="1:1" hidden="1" x14ac:dyDescent="0.25">
      <c r="A231" t="s">
        <v>183</v>
      </c>
    </row>
    <row r="232" spans="1:1" hidden="1" x14ac:dyDescent="0.25">
      <c r="A232" t="s">
        <v>184</v>
      </c>
    </row>
    <row r="233" spans="1:1" hidden="1" x14ac:dyDescent="0.25">
      <c r="A233" t="s">
        <v>185</v>
      </c>
    </row>
    <row r="234" spans="1:1" hidden="1" x14ac:dyDescent="0.25">
      <c r="A234" t="s">
        <v>186</v>
      </c>
    </row>
    <row r="235" spans="1:1" hidden="1" x14ac:dyDescent="0.25">
      <c r="A235" t="s">
        <v>187</v>
      </c>
    </row>
    <row r="236" spans="1:1" hidden="1" x14ac:dyDescent="0.25">
      <c r="A236" t="s">
        <v>188</v>
      </c>
    </row>
    <row r="237" spans="1:1" hidden="1" x14ac:dyDescent="0.25">
      <c r="A237" t="s">
        <v>189</v>
      </c>
    </row>
    <row r="238" spans="1:1" hidden="1" x14ac:dyDescent="0.25">
      <c r="A238" t="s">
        <v>190</v>
      </c>
    </row>
    <row r="239" spans="1:1" hidden="1" x14ac:dyDescent="0.25">
      <c r="A239" t="s">
        <v>191</v>
      </c>
    </row>
    <row r="240" spans="1:1" hidden="1" x14ac:dyDescent="0.25">
      <c r="A240" t="s">
        <v>192</v>
      </c>
    </row>
    <row r="241" spans="1:1" hidden="1" x14ac:dyDescent="0.25">
      <c r="A241" t="s">
        <v>193</v>
      </c>
    </row>
    <row r="242" spans="1:1" hidden="1" x14ac:dyDescent="0.25">
      <c r="A242" t="s">
        <v>194</v>
      </c>
    </row>
    <row r="243" spans="1:1" hidden="1" x14ac:dyDescent="0.25">
      <c r="A243" t="s">
        <v>195</v>
      </c>
    </row>
    <row r="244" spans="1:1" hidden="1" x14ac:dyDescent="0.25">
      <c r="A244" t="s">
        <v>196</v>
      </c>
    </row>
    <row r="245" spans="1:1" hidden="1" x14ac:dyDescent="0.25">
      <c r="A245" t="s">
        <v>197</v>
      </c>
    </row>
    <row r="246" spans="1:1" hidden="1" x14ac:dyDescent="0.25">
      <c r="A246" t="s">
        <v>198</v>
      </c>
    </row>
    <row r="247" spans="1:1" hidden="1" x14ac:dyDescent="0.25">
      <c r="A247" t="s">
        <v>199</v>
      </c>
    </row>
    <row r="248" spans="1:1" hidden="1" x14ac:dyDescent="0.25">
      <c r="A248" t="s">
        <v>200</v>
      </c>
    </row>
    <row r="249" spans="1:1" hidden="1" x14ac:dyDescent="0.25">
      <c r="A249" t="s">
        <v>201</v>
      </c>
    </row>
    <row r="250" spans="1:1" hidden="1" x14ac:dyDescent="0.25">
      <c r="A250" t="s">
        <v>398</v>
      </c>
    </row>
    <row r="251" spans="1:1" hidden="1" x14ac:dyDescent="0.25">
      <c r="A251" t="s">
        <v>94</v>
      </c>
    </row>
    <row r="252" spans="1:1" hidden="1" x14ac:dyDescent="0.25">
      <c r="A252" t="s">
        <v>399</v>
      </c>
    </row>
    <row r="253" spans="1:1" hidden="1" x14ac:dyDescent="0.25">
      <c r="A253" t="s">
        <v>138</v>
      </c>
    </row>
    <row r="254" spans="1:1" hidden="1" x14ac:dyDescent="0.25">
      <c r="A254" t="s">
        <v>400</v>
      </c>
    </row>
    <row r="255" spans="1:1" hidden="1" x14ac:dyDescent="0.25">
      <c r="A255" t="s">
        <v>202</v>
      </c>
    </row>
    <row r="256" spans="1:1" hidden="1" x14ac:dyDescent="0.25">
      <c r="A256" t="s">
        <v>97</v>
      </c>
    </row>
    <row r="257" spans="1:1" hidden="1" x14ac:dyDescent="0.25">
      <c r="A257" t="s">
        <v>354</v>
      </c>
    </row>
    <row r="258" spans="1:1" hidden="1" x14ac:dyDescent="0.25">
      <c r="A258" t="s">
        <v>203</v>
      </c>
    </row>
    <row r="259" spans="1:1" hidden="1" x14ac:dyDescent="0.25">
      <c r="A259" t="s">
        <v>204</v>
      </c>
    </row>
    <row r="260" spans="1:1" hidden="1" x14ac:dyDescent="0.25">
      <c r="A260" t="s">
        <v>401</v>
      </c>
    </row>
    <row r="261" spans="1:1" hidden="1" x14ac:dyDescent="0.25">
      <c r="A261" t="s">
        <v>205</v>
      </c>
    </row>
    <row r="262" spans="1:1" hidden="1" x14ac:dyDescent="0.25">
      <c r="A262" t="s">
        <v>402</v>
      </c>
    </row>
    <row r="263" spans="1:1" hidden="1" x14ac:dyDescent="0.25">
      <c r="A263" t="s">
        <v>103</v>
      </c>
    </row>
    <row r="264" spans="1:1" hidden="1" x14ac:dyDescent="0.25">
      <c r="A264" t="s">
        <v>403</v>
      </c>
    </row>
    <row r="265" spans="1:1" hidden="1" x14ac:dyDescent="0.25">
      <c r="A265" t="s">
        <v>206</v>
      </c>
    </row>
    <row r="266" spans="1:1" hidden="1" x14ac:dyDescent="0.25">
      <c r="A266" t="s">
        <v>207</v>
      </c>
    </row>
    <row r="267" spans="1:1" hidden="1" x14ac:dyDescent="0.25">
      <c r="A267" t="s">
        <v>404</v>
      </c>
    </row>
    <row r="268" spans="1:1" hidden="1" x14ac:dyDescent="0.25">
      <c r="A268" t="s">
        <v>208</v>
      </c>
    </row>
    <row r="269" spans="1:1" hidden="1" x14ac:dyDescent="0.25">
      <c r="A269" t="s">
        <v>209</v>
      </c>
    </row>
    <row r="270" spans="1:1" hidden="1" x14ac:dyDescent="0.25">
      <c r="A270" t="s">
        <v>97</v>
      </c>
    </row>
    <row r="271" spans="1:1" hidden="1" x14ac:dyDescent="0.25">
      <c r="A271" t="s">
        <v>405</v>
      </c>
    </row>
    <row r="272" spans="1:1" hidden="1" x14ac:dyDescent="0.25">
      <c r="A272" t="s">
        <v>210</v>
      </c>
    </row>
    <row r="273" spans="1:1" hidden="1" x14ac:dyDescent="0.25">
      <c r="A273" t="s">
        <v>406</v>
      </c>
    </row>
    <row r="274" spans="1:1" hidden="1" x14ac:dyDescent="0.25">
      <c r="A274" t="s">
        <v>211</v>
      </c>
    </row>
    <row r="275" spans="1:1" hidden="1" x14ac:dyDescent="0.25">
      <c r="A275" t="s">
        <v>212</v>
      </c>
    </row>
    <row r="276" spans="1:1" hidden="1" x14ac:dyDescent="0.25">
      <c r="A276" t="s">
        <v>213</v>
      </c>
    </row>
    <row r="277" spans="1:1" hidden="1" x14ac:dyDescent="0.25">
      <c r="A277" t="s">
        <v>214</v>
      </c>
    </row>
    <row r="278" spans="1:1" hidden="1" x14ac:dyDescent="0.25">
      <c r="A278" t="s">
        <v>215</v>
      </c>
    </row>
    <row r="279" spans="1:1" hidden="1" x14ac:dyDescent="0.25">
      <c r="A279" t="s">
        <v>407</v>
      </c>
    </row>
    <row r="280" spans="1:1" hidden="1" x14ac:dyDescent="0.25">
      <c r="A280" t="s">
        <v>216</v>
      </c>
    </row>
    <row r="281" spans="1:1" hidden="1" x14ac:dyDescent="0.25">
      <c r="A281" t="s">
        <v>408</v>
      </c>
    </row>
    <row r="282" spans="1:1" hidden="1" x14ac:dyDescent="0.25">
      <c r="A282" t="s">
        <v>217</v>
      </c>
    </row>
    <row r="283" spans="1:1" hidden="1" x14ac:dyDescent="0.25">
      <c r="A283" t="s">
        <v>409</v>
      </c>
    </row>
    <row r="284" spans="1:1" hidden="1" x14ac:dyDescent="0.25">
      <c r="A284" t="s">
        <v>218</v>
      </c>
    </row>
    <row r="285" spans="1:1" hidden="1" x14ac:dyDescent="0.25">
      <c r="A285" t="s">
        <v>410</v>
      </c>
    </row>
    <row r="286" spans="1:1" hidden="1" x14ac:dyDescent="0.25">
      <c r="A286" t="s">
        <v>219</v>
      </c>
    </row>
    <row r="287" spans="1:1" hidden="1" x14ac:dyDescent="0.25">
      <c r="A287" t="s">
        <v>411</v>
      </c>
    </row>
    <row r="288" spans="1:1" hidden="1" x14ac:dyDescent="0.25">
      <c r="A288" t="s">
        <v>220</v>
      </c>
    </row>
    <row r="289" spans="1:1" hidden="1" x14ac:dyDescent="0.25">
      <c r="A289" t="s">
        <v>221</v>
      </c>
    </row>
    <row r="290" spans="1:1" hidden="1" x14ac:dyDescent="0.25">
      <c r="A290" t="s">
        <v>412</v>
      </c>
    </row>
    <row r="291" spans="1:1" hidden="1" x14ac:dyDescent="0.25">
      <c r="A291" t="s">
        <v>222</v>
      </c>
    </row>
    <row r="292" spans="1:1" hidden="1" x14ac:dyDescent="0.25">
      <c r="A292" t="s">
        <v>413</v>
      </c>
    </row>
    <row r="293" spans="1:1" hidden="1" x14ac:dyDescent="0.25">
      <c r="A293" t="s">
        <v>223</v>
      </c>
    </row>
    <row r="294" spans="1:1" hidden="1" x14ac:dyDescent="0.25">
      <c r="A294" t="s">
        <v>224</v>
      </c>
    </row>
    <row r="295" spans="1:1" hidden="1" x14ac:dyDescent="0.25">
      <c r="A295" t="s">
        <v>414</v>
      </c>
    </row>
    <row r="296" spans="1:1" hidden="1" x14ac:dyDescent="0.25">
      <c r="A296" t="s">
        <v>225</v>
      </c>
    </row>
    <row r="297" spans="1:1" hidden="1" x14ac:dyDescent="0.25">
      <c r="A297" t="s">
        <v>415</v>
      </c>
    </row>
    <row r="298" spans="1:1" hidden="1" x14ac:dyDescent="0.25">
      <c r="A298" t="s">
        <v>226</v>
      </c>
    </row>
    <row r="299" spans="1:1" hidden="1" x14ac:dyDescent="0.25">
      <c r="A299" t="s">
        <v>416</v>
      </c>
    </row>
    <row r="300" spans="1:1" hidden="1" x14ac:dyDescent="0.25">
      <c r="A300" t="s">
        <v>227</v>
      </c>
    </row>
    <row r="301" spans="1:1" hidden="1" x14ac:dyDescent="0.25">
      <c r="A301" t="s">
        <v>228</v>
      </c>
    </row>
    <row r="302" spans="1:1" hidden="1" x14ac:dyDescent="0.25">
      <c r="A302" t="s">
        <v>229</v>
      </c>
    </row>
    <row r="303" spans="1:1" hidden="1" x14ac:dyDescent="0.25">
      <c r="A303" t="s">
        <v>230</v>
      </c>
    </row>
    <row r="304" spans="1:1" hidden="1" x14ac:dyDescent="0.25">
      <c r="A304" t="s">
        <v>417</v>
      </c>
    </row>
    <row r="305" spans="1:1" hidden="1" x14ac:dyDescent="0.25">
      <c r="A305" t="s">
        <v>84</v>
      </c>
    </row>
    <row r="306" spans="1:1" hidden="1" x14ac:dyDescent="0.25">
      <c r="A306" t="s">
        <v>354</v>
      </c>
    </row>
    <row r="307" spans="1:1" hidden="1" x14ac:dyDescent="0.25">
      <c r="A307" t="s">
        <v>102</v>
      </c>
    </row>
    <row r="308" spans="1:1" hidden="1" x14ac:dyDescent="0.25">
      <c r="A308" t="s">
        <v>96</v>
      </c>
    </row>
    <row r="309" spans="1:1" hidden="1" x14ac:dyDescent="0.25">
      <c r="A309" t="s">
        <v>418</v>
      </c>
    </row>
    <row r="310" spans="1:1" hidden="1" x14ac:dyDescent="0.25">
      <c r="A310" t="s">
        <v>231</v>
      </c>
    </row>
    <row r="311" spans="1:1" hidden="1" x14ac:dyDescent="0.25">
      <c r="A311" t="s">
        <v>419</v>
      </c>
    </row>
    <row r="312" spans="1:1" hidden="1" x14ac:dyDescent="0.25">
      <c r="A312" t="s">
        <v>230</v>
      </c>
    </row>
    <row r="313" spans="1:1" hidden="1" x14ac:dyDescent="0.25">
      <c r="A313" t="s">
        <v>420</v>
      </c>
    </row>
    <row r="314" spans="1:1" hidden="1" x14ac:dyDescent="0.25">
      <c r="A314" t="s">
        <v>232</v>
      </c>
    </row>
    <row r="315" spans="1:1" hidden="1" x14ac:dyDescent="0.25">
      <c r="A315" t="s">
        <v>421</v>
      </c>
    </row>
    <row r="316" spans="1:1" hidden="1" x14ac:dyDescent="0.25">
      <c r="A316" t="s">
        <v>233</v>
      </c>
    </row>
    <row r="317" spans="1:1" hidden="1" x14ac:dyDescent="0.25">
      <c r="A317" t="s">
        <v>356</v>
      </c>
    </row>
    <row r="318" spans="1:1" hidden="1" x14ac:dyDescent="0.25">
      <c r="A318" t="s">
        <v>234</v>
      </c>
    </row>
    <row r="319" spans="1:1" hidden="1" x14ac:dyDescent="0.25">
      <c r="A319" t="s">
        <v>235</v>
      </c>
    </row>
    <row r="320" spans="1:1" hidden="1" x14ac:dyDescent="0.25">
      <c r="A320" t="s">
        <v>236</v>
      </c>
    </row>
    <row r="321" spans="1:1" hidden="1" x14ac:dyDescent="0.25">
      <c r="A321" t="s">
        <v>422</v>
      </c>
    </row>
    <row r="322" spans="1:1" hidden="1" x14ac:dyDescent="0.25">
      <c r="A322" t="s">
        <v>237</v>
      </c>
    </row>
    <row r="323" spans="1:1" hidden="1" x14ac:dyDescent="0.25">
      <c r="A323" t="s">
        <v>238</v>
      </c>
    </row>
    <row r="324" spans="1:1" hidden="1" x14ac:dyDescent="0.25">
      <c r="A324" t="s">
        <v>356</v>
      </c>
    </row>
    <row r="325" spans="1:1" hidden="1" x14ac:dyDescent="0.25">
      <c r="A325" t="s">
        <v>239</v>
      </c>
    </row>
    <row r="326" spans="1:1" hidden="1" x14ac:dyDescent="0.25">
      <c r="A326" t="s">
        <v>138</v>
      </c>
    </row>
    <row r="327" spans="1:1" hidden="1" x14ac:dyDescent="0.25">
      <c r="A327" t="s">
        <v>94</v>
      </c>
    </row>
    <row r="328" spans="1:1" hidden="1" x14ac:dyDescent="0.25">
      <c r="A328" t="s">
        <v>356</v>
      </c>
    </row>
    <row r="329" spans="1:1" hidden="1" x14ac:dyDescent="0.25">
      <c r="A329" t="s">
        <v>138</v>
      </c>
    </row>
    <row r="330" spans="1:1" hidden="1" x14ac:dyDescent="0.25">
      <c r="A330" t="s">
        <v>94</v>
      </c>
    </row>
    <row r="331" spans="1:1" hidden="1" x14ac:dyDescent="0.25">
      <c r="A331" t="s">
        <v>356</v>
      </c>
    </row>
    <row r="332" spans="1:1" hidden="1" x14ac:dyDescent="0.25">
      <c r="A332" t="s">
        <v>138</v>
      </c>
    </row>
    <row r="333" spans="1:1" hidden="1" x14ac:dyDescent="0.25">
      <c r="A333" t="s">
        <v>94</v>
      </c>
    </row>
    <row r="334" spans="1:1" hidden="1" x14ac:dyDescent="0.25">
      <c r="A334" t="s">
        <v>356</v>
      </c>
    </row>
    <row r="335" spans="1:1" hidden="1" x14ac:dyDescent="0.25">
      <c r="A335" t="s">
        <v>94</v>
      </c>
    </row>
    <row r="336" spans="1:1" hidden="1" x14ac:dyDescent="0.25">
      <c r="A336" t="s">
        <v>356</v>
      </c>
    </row>
    <row r="337" spans="1:1" hidden="1" x14ac:dyDescent="0.25">
      <c r="A337" t="s">
        <v>94</v>
      </c>
    </row>
    <row r="338" spans="1:1" hidden="1" x14ac:dyDescent="0.25">
      <c r="A338" t="s">
        <v>356</v>
      </c>
    </row>
    <row r="339" spans="1:1" hidden="1" x14ac:dyDescent="0.25">
      <c r="A339" t="s">
        <v>240</v>
      </c>
    </row>
    <row r="340" spans="1:1" hidden="1" x14ac:dyDescent="0.25">
      <c r="A340" t="s">
        <v>241</v>
      </c>
    </row>
    <row r="341" spans="1:1" hidden="1" x14ac:dyDescent="0.25">
      <c r="A341" t="s">
        <v>242</v>
      </c>
    </row>
    <row r="342" spans="1:1" hidden="1" x14ac:dyDescent="0.25">
      <c r="A342" t="s">
        <v>243</v>
      </c>
    </row>
    <row r="343" spans="1:1" hidden="1" x14ac:dyDescent="0.25">
      <c r="A343">
        <v>800</v>
      </c>
    </row>
    <row r="344" spans="1:1" hidden="1" x14ac:dyDescent="0.25">
      <c r="A344" t="s">
        <v>244</v>
      </c>
    </row>
    <row r="345" spans="1:1" hidden="1" x14ac:dyDescent="0.25">
      <c r="A345" t="s">
        <v>423</v>
      </c>
    </row>
    <row r="346" spans="1:1" hidden="1" x14ac:dyDescent="0.25">
      <c r="A346" t="s">
        <v>245</v>
      </c>
    </row>
    <row r="347" spans="1:1" hidden="1" x14ac:dyDescent="0.25">
      <c r="A347" t="s">
        <v>142</v>
      </c>
    </row>
    <row r="348" spans="1:1" hidden="1" x14ac:dyDescent="0.25">
      <c r="A348" t="s">
        <v>246</v>
      </c>
    </row>
    <row r="349" spans="1:1" hidden="1" x14ac:dyDescent="0.25">
      <c r="A349" t="s">
        <v>247</v>
      </c>
    </row>
    <row r="350" spans="1:1" hidden="1" x14ac:dyDescent="0.25">
      <c r="A350" t="s">
        <v>248</v>
      </c>
    </row>
    <row r="351" spans="1:1" hidden="1" x14ac:dyDescent="0.25">
      <c r="A351" t="s">
        <v>249</v>
      </c>
    </row>
    <row r="352" spans="1:1" hidden="1" x14ac:dyDescent="0.25">
      <c r="A352" t="s">
        <v>250</v>
      </c>
    </row>
    <row r="353" spans="1:7" hidden="1" x14ac:dyDescent="0.25">
      <c r="A353" t="s">
        <v>251</v>
      </c>
    </row>
    <row r="354" spans="1:7" hidden="1" x14ac:dyDescent="0.25">
      <c r="A354" t="s">
        <v>252</v>
      </c>
    </row>
    <row r="355" spans="1:7" hidden="1" x14ac:dyDescent="0.25">
      <c r="A355" t="s">
        <v>142</v>
      </c>
      <c r="B355" t="s">
        <v>246</v>
      </c>
      <c r="C355" t="s">
        <v>247</v>
      </c>
      <c r="D355" t="s">
        <v>248</v>
      </c>
      <c r="E355" t="s">
        <v>253</v>
      </c>
    </row>
    <row r="356" spans="1:7" hidden="1" x14ac:dyDescent="0.25">
      <c r="E356" t="s">
        <v>249</v>
      </c>
      <c r="F356" t="s">
        <v>250</v>
      </c>
      <c r="G356" t="s">
        <v>251</v>
      </c>
    </row>
    <row r="357" spans="1:7" hidden="1" x14ac:dyDescent="0.25">
      <c r="A357" t="s">
        <v>254</v>
      </c>
    </row>
    <row r="358" spans="1:7" hidden="1" x14ac:dyDescent="0.25"/>
    <row r="359" spans="1:7" x14ac:dyDescent="0.25">
      <c r="A359" t="s">
        <v>424</v>
      </c>
    </row>
    <row r="361" spans="1:7" x14ac:dyDescent="0.25">
      <c r="A361" t="s">
        <v>255</v>
      </c>
    </row>
    <row r="363" spans="1:7" x14ac:dyDescent="0.25">
      <c r="A363" t="s">
        <v>256</v>
      </c>
    </row>
    <row r="365" spans="1:7" x14ac:dyDescent="0.25">
      <c r="A365" t="s">
        <v>257</v>
      </c>
      <c r="B365" t="s">
        <v>256</v>
      </c>
      <c r="C365" t="s">
        <v>258</v>
      </c>
    </row>
    <row r="366" spans="1:7" x14ac:dyDescent="0.25">
      <c r="A366">
        <v>0</v>
      </c>
      <c r="B366">
        <v>13</v>
      </c>
      <c r="C366" t="s">
        <v>324</v>
      </c>
    </row>
    <row r="367" spans="1:7" x14ac:dyDescent="0.25">
      <c r="A367">
        <v>1</v>
      </c>
      <c r="B367">
        <v>10</v>
      </c>
      <c r="C367" t="s">
        <v>261</v>
      </c>
    </row>
    <row r="368" spans="1:7" x14ac:dyDescent="0.25">
      <c r="A368">
        <v>2</v>
      </c>
      <c r="B368">
        <v>12</v>
      </c>
      <c r="C368" t="s">
        <v>263</v>
      </c>
    </row>
    <row r="369" spans="1:3" x14ac:dyDescent="0.25">
      <c r="A369">
        <v>3</v>
      </c>
      <c r="B369">
        <v>9</v>
      </c>
      <c r="C369" t="s">
        <v>322</v>
      </c>
    </row>
    <row r="370" spans="1:3" x14ac:dyDescent="0.25">
      <c r="A370">
        <v>4</v>
      </c>
      <c r="B370">
        <v>16</v>
      </c>
      <c r="C370" t="s">
        <v>259</v>
      </c>
    </row>
    <row r="371" spans="1:3" x14ac:dyDescent="0.25">
      <c r="A371">
        <v>5</v>
      </c>
      <c r="B371">
        <v>16</v>
      </c>
      <c r="C371" t="s">
        <v>259</v>
      </c>
    </row>
    <row r="372" spans="1:3" x14ac:dyDescent="0.25">
      <c r="A372">
        <v>6</v>
      </c>
      <c r="B372">
        <v>14</v>
      </c>
      <c r="C372" t="s">
        <v>262</v>
      </c>
    </row>
    <row r="373" spans="1:3" x14ac:dyDescent="0.25">
      <c r="A373">
        <v>7</v>
      </c>
      <c r="B373">
        <v>15</v>
      </c>
      <c r="C373" t="s">
        <v>313</v>
      </c>
    </row>
    <row r="374" spans="1:3" x14ac:dyDescent="0.25">
      <c r="A374">
        <v>8</v>
      </c>
      <c r="B374">
        <v>16</v>
      </c>
      <c r="C374" t="s">
        <v>259</v>
      </c>
    </row>
    <row r="375" spans="1:3" x14ac:dyDescent="0.25">
      <c r="A375">
        <v>9</v>
      </c>
      <c r="B375">
        <v>16</v>
      </c>
      <c r="C375" t="s">
        <v>259</v>
      </c>
    </row>
    <row r="376" spans="1:3" x14ac:dyDescent="0.25">
      <c r="A376">
        <v>10</v>
      </c>
      <c r="B376">
        <v>14</v>
      </c>
      <c r="C376" t="s">
        <v>262</v>
      </c>
    </row>
    <row r="377" spans="1:3" x14ac:dyDescent="0.25">
      <c r="A377">
        <v>11</v>
      </c>
      <c r="B377">
        <v>5</v>
      </c>
      <c r="C377" t="s">
        <v>314</v>
      </c>
    </row>
    <row r="378" spans="1:3" x14ac:dyDescent="0.25">
      <c r="A378">
        <v>12</v>
      </c>
      <c r="B378">
        <v>17</v>
      </c>
      <c r="C378" t="s">
        <v>326</v>
      </c>
    </row>
    <row r="379" spans="1:3" x14ac:dyDescent="0.25">
      <c r="A379">
        <v>13</v>
      </c>
      <c r="B379">
        <v>8</v>
      </c>
      <c r="C379" t="s">
        <v>260</v>
      </c>
    </row>
    <row r="380" spans="1:3" x14ac:dyDescent="0.25">
      <c r="A380">
        <v>14</v>
      </c>
      <c r="B380">
        <v>13</v>
      </c>
      <c r="C380" t="s">
        <v>324</v>
      </c>
    </row>
    <row r="381" spans="1:3" x14ac:dyDescent="0.25">
      <c r="A381">
        <v>15</v>
      </c>
      <c r="B381">
        <v>11</v>
      </c>
      <c r="C381" t="s">
        <v>327</v>
      </c>
    </row>
    <row r="382" spans="1:3" x14ac:dyDescent="0.25">
      <c r="A382">
        <v>16</v>
      </c>
      <c r="B382">
        <v>15</v>
      </c>
      <c r="C382" t="s">
        <v>313</v>
      </c>
    </row>
    <row r="383" spans="1:3" x14ac:dyDescent="0.25">
      <c r="A383">
        <v>17</v>
      </c>
      <c r="B383">
        <v>14</v>
      </c>
      <c r="C383" t="s">
        <v>262</v>
      </c>
    </row>
    <row r="384" spans="1:3" x14ac:dyDescent="0.25">
      <c r="A384">
        <v>18</v>
      </c>
      <c r="B384">
        <v>20</v>
      </c>
      <c r="C384" t="s">
        <v>265</v>
      </c>
    </row>
    <row r="385" spans="1:3" x14ac:dyDescent="0.25">
      <c r="A385">
        <v>19</v>
      </c>
      <c r="B385">
        <v>10</v>
      </c>
      <c r="C385" t="s">
        <v>261</v>
      </c>
    </row>
    <row r="386" spans="1:3" x14ac:dyDescent="0.25">
      <c r="A386">
        <v>20</v>
      </c>
      <c r="B386">
        <v>14</v>
      </c>
      <c r="C386" t="s">
        <v>262</v>
      </c>
    </row>
    <row r="387" spans="1:3" x14ac:dyDescent="0.25">
      <c r="A387">
        <v>21</v>
      </c>
      <c r="B387">
        <v>15</v>
      </c>
      <c r="C387" t="s">
        <v>313</v>
      </c>
    </row>
    <row r="388" spans="1:3" x14ac:dyDescent="0.25">
      <c r="A388">
        <v>22</v>
      </c>
      <c r="B388">
        <v>9</v>
      </c>
      <c r="C388" t="s">
        <v>322</v>
      </c>
    </row>
    <row r="389" spans="1:3" x14ac:dyDescent="0.25">
      <c r="A389">
        <v>23</v>
      </c>
      <c r="B389">
        <v>8</v>
      </c>
      <c r="C389" t="s">
        <v>260</v>
      </c>
    </row>
    <row r="390" spans="1:3" x14ac:dyDescent="0.25">
      <c r="A390" t="s">
        <v>257</v>
      </c>
      <c r="B390" t="s">
        <v>256</v>
      </c>
      <c r="C390" t="s">
        <v>258</v>
      </c>
    </row>
    <row r="391" spans="1:3" x14ac:dyDescent="0.25">
      <c r="A391">
        <v>24</v>
      </c>
      <c r="B391">
        <v>9</v>
      </c>
      <c r="C391" t="s">
        <v>322</v>
      </c>
    </row>
    <row r="392" spans="1:3" x14ac:dyDescent="0.25">
      <c r="A392">
        <v>25</v>
      </c>
      <c r="B392">
        <v>11</v>
      </c>
      <c r="C392" t="s">
        <v>327</v>
      </c>
    </row>
    <row r="393" spans="1:3" x14ac:dyDescent="0.25">
      <c r="A393">
        <v>26</v>
      </c>
      <c r="B393">
        <v>14</v>
      </c>
      <c r="C393" t="s">
        <v>262</v>
      </c>
    </row>
    <row r="394" spans="1:3" x14ac:dyDescent="0.25">
      <c r="A394">
        <v>27</v>
      </c>
      <c r="B394">
        <v>16</v>
      </c>
      <c r="C394" t="s">
        <v>259</v>
      </c>
    </row>
    <row r="395" spans="1:3" x14ac:dyDescent="0.25">
      <c r="A395">
        <v>28</v>
      </c>
      <c r="B395">
        <v>14</v>
      </c>
      <c r="C395" t="s">
        <v>262</v>
      </c>
    </row>
    <row r="396" spans="1:3" x14ac:dyDescent="0.25">
      <c r="A396">
        <v>29</v>
      </c>
      <c r="B396">
        <v>14</v>
      </c>
      <c r="C396" t="s">
        <v>262</v>
      </c>
    </row>
    <row r="397" spans="1:3" x14ac:dyDescent="0.25">
      <c r="A397">
        <v>30</v>
      </c>
      <c r="B397">
        <v>13</v>
      </c>
      <c r="C397" t="s">
        <v>324</v>
      </c>
    </row>
    <row r="398" spans="1:3" x14ac:dyDescent="0.25">
      <c r="A398">
        <v>31</v>
      </c>
      <c r="B398">
        <v>12</v>
      </c>
      <c r="C398" t="s">
        <v>263</v>
      </c>
    </row>
    <row r="399" spans="1:3" x14ac:dyDescent="0.25">
      <c r="A399">
        <v>32</v>
      </c>
      <c r="B399">
        <v>17</v>
      </c>
      <c r="C399" t="s">
        <v>326</v>
      </c>
    </row>
    <row r="400" spans="1:3" x14ac:dyDescent="0.25">
      <c r="A400">
        <v>33</v>
      </c>
      <c r="B400">
        <v>14</v>
      </c>
      <c r="C400" t="s">
        <v>262</v>
      </c>
    </row>
    <row r="401" spans="1:3" x14ac:dyDescent="0.25">
      <c r="A401">
        <v>34</v>
      </c>
      <c r="B401">
        <v>14</v>
      </c>
      <c r="C401" t="s">
        <v>262</v>
      </c>
    </row>
    <row r="402" spans="1:3" x14ac:dyDescent="0.25">
      <c r="A402">
        <v>35</v>
      </c>
      <c r="B402">
        <v>7</v>
      </c>
      <c r="C402" t="s">
        <v>325</v>
      </c>
    </row>
    <row r="403" spans="1:3" x14ac:dyDescent="0.25">
      <c r="A403">
        <v>36</v>
      </c>
      <c r="B403">
        <v>10</v>
      </c>
      <c r="C403" t="s">
        <v>261</v>
      </c>
    </row>
    <row r="404" spans="1:3" x14ac:dyDescent="0.25">
      <c r="A404">
        <v>37</v>
      </c>
      <c r="B404">
        <v>15</v>
      </c>
      <c r="C404" t="s">
        <v>313</v>
      </c>
    </row>
    <row r="405" spans="1:3" x14ac:dyDescent="0.25">
      <c r="A405">
        <v>38</v>
      </c>
      <c r="B405">
        <v>11</v>
      </c>
      <c r="C405" t="s">
        <v>327</v>
      </c>
    </row>
    <row r="406" spans="1:3" x14ac:dyDescent="0.25">
      <c r="A406">
        <v>39</v>
      </c>
      <c r="B406">
        <v>12</v>
      </c>
      <c r="C406" t="s">
        <v>263</v>
      </c>
    </row>
    <row r="407" spans="1:3" x14ac:dyDescent="0.25">
      <c r="A407">
        <v>40</v>
      </c>
      <c r="B407">
        <v>16</v>
      </c>
      <c r="C407" t="s">
        <v>259</v>
      </c>
    </row>
    <row r="408" spans="1:3" x14ac:dyDescent="0.25">
      <c r="A408">
        <v>41</v>
      </c>
      <c r="B408">
        <v>12</v>
      </c>
      <c r="C408" t="s">
        <v>263</v>
      </c>
    </row>
    <row r="409" spans="1:3" x14ac:dyDescent="0.25">
      <c r="A409">
        <v>42</v>
      </c>
      <c r="B409">
        <v>16</v>
      </c>
      <c r="C409" t="s">
        <v>259</v>
      </c>
    </row>
    <row r="410" spans="1:3" x14ac:dyDescent="0.25">
      <c r="A410">
        <v>43</v>
      </c>
      <c r="B410">
        <v>14</v>
      </c>
      <c r="C410" t="s">
        <v>262</v>
      </c>
    </row>
    <row r="411" spans="1:3" x14ac:dyDescent="0.25">
      <c r="A411">
        <v>44</v>
      </c>
      <c r="B411">
        <v>16</v>
      </c>
      <c r="C411" t="s">
        <v>259</v>
      </c>
    </row>
    <row r="412" spans="1:3" x14ac:dyDescent="0.25">
      <c r="A412">
        <v>45</v>
      </c>
      <c r="B412">
        <v>13</v>
      </c>
      <c r="C412" t="s">
        <v>324</v>
      </c>
    </row>
    <row r="414" spans="1:3" x14ac:dyDescent="0.25">
      <c r="A414" t="s">
        <v>268</v>
      </c>
    </row>
    <row r="416" spans="1:3" x14ac:dyDescent="0.25">
      <c r="B416" t="s">
        <v>256</v>
      </c>
      <c r="C416" t="s">
        <v>258</v>
      </c>
    </row>
    <row r="417" spans="1:3" x14ac:dyDescent="0.25">
      <c r="A417" t="s">
        <v>269</v>
      </c>
      <c r="B417">
        <v>302</v>
      </c>
      <c r="C417" t="s">
        <v>425</v>
      </c>
    </row>
    <row r="418" spans="1:3" x14ac:dyDescent="0.25">
      <c r="A418" t="s">
        <v>270</v>
      </c>
      <c r="B418">
        <v>298</v>
      </c>
      <c r="C418" t="s">
        <v>426</v>
      </c>
    </row>
    <row r="420" spans="1:3" x14ac:dyDescent="0.25">
      <c r="A420" t="s">
        <v>271</v>
      </c>
    </row>
    <row r="422" spans="1:3" x14ac:dyDescent="0.25">
      <c r="B422" t="s">
        <v>256</v>
      </c>
      <c r="C422" t="s">
        <v>258</v>
      </c>
    </row>
    <row r="423" spans="1:3" x14ac:dyDescent="0.25">
      <c r="A423" t="s">
        <v>272</v>
      </c>
      <c r="B423">
        <v>323</v>
      </c>
      <c r="C423" t="s">
        <v>427</v>
      </c>
    </row>
    <row r="424" spans="1:3" x14ac:dyDescent="0.25">
      <c r="A424" t="s">
        <v>273</v>
      </c>
      <c r="B424">
        <v>277</v>
      </c>
      <c r="C424" t="s">
        <v>428</v>
      </c>
    </row>
    <row r="426" spans="1:3" x14ac:dyDescent="0.25">
      <c r="A426" t="s">
        <v>274</v>
      </c>
    </row>
    <row r="428" spans="1:3" x14ac:dyDescent="0.25">
      <c r="A428" s="3" t="s">
        <v>275</v>
      </c>
      <c r="B428" t="s">
        <v>256</v>
      </c>
      <c r="C428" t="s">
        <v>258</v>
      </c>
    </row>
    <row r="429" spans="1:3" x14ac:dyDescent="0.25">
      <c r="A429" t="s">
        <v>276</v>
      </c>
      <c r="B429">
        <v>151</v>
      </c>
      <c r="C429" t="s">
        <v>429</v>
      </c>
    </row>
    <row r="430" spans="1:3" x14ac:dyDescent="0.25">
      <c r="A430" s="1">
        <v>44105</v>
      </c>
      <c r="B430">
        <v>113</v>
      </c>
      <c r="C430" t="s">
        <v>430</v>
      </c>
    </row>
    <row r="431" spans="1:3" x14ac:dyDescent="0.25">
      <c r="A431" t="s">
        <v>277</v>
      </c>
      <c r="B431">
        <v>124</v>
      </c>
      <c r="C431" t="s">
        <v>328</v>
      </c>
    </row>
    <row r="432" spans="1:3" x14ac:dyDescent="0.25">
      <c r="A432" s="1" t="s">
        <v>278</v>
      </c>
      <c r="B432">
        <v>125</v>
      </c>
      <c r="C432" t="s">
        <v>333</v>
      </c>
    </row>
    <row r="433" spans="1:3" x14ac:dyDescent="0.25">
      <c r="A433" t="s">
        <v>279</v>
      </c>
      <c r="B433">
        <v>87</v>
      </c>
      <c r="C433" t="s">
        <v>431</v>
      </c>
    </row>
    <row r="435" spans="1:3" x14ac:dyDescent="0.25">
      <c r="A435" t="s">
        <v>280</v>
      </c>
    </row>
    <row r="437" spans="1:3" x14ac:dyDescent="0.25">
      <c r="A437" t="s">
        <v>257</v>
      </c>
      <c r="B437" t="s">
        <v>281</v>
      </c>
      <c r="C437" t="s">
        <v>258</v>
      </c>
    </row>
    <row r="438" spans="1:3" x14ac:dyDescent="0.25">
      <c r="A438">
        <v>0</v>
      </c>
      <c r="B438">
        <v>87</v>
      </c>
      <c r="C438" t="s">
        <v>329</v>
      </c>
    </row>
    <row r="439" spans="1:3" x14ac:dyDescent="0.25">
      <c r="A439">
        <v>1</v>
      </c>
      <c r="B439">
        <v>90</v>
      </c>
      <c r="C439" t="s">
        <v>284</v>
      </c>
    </row>
    <row r="440" spans="1:3" x14ac:dyDescent="0.25">
      <c r="A440">
        <v>2</v>
      </c>
      <c r="B440">
        <v>88</v>
      </c>
      <c r="C440" t="s">
        <v>286</v>
      </c>
    </row>
    <row r="441" spans="1:3" x14ac:dyDescent="0.25">
      <c r="A441">
        <v>3</v>
      </c>
      <c r="B441">
        <v>91</v>
      </c>
      <c r="C441" t="s">
        <v>331</v>
      </c>
    </row>
    <row r="442" spans="1:3" x14ac:dyDescent="0.25">
      <c r="A442">
        <v>4</v>
      </c>
      <c r="B442">
        <v>84</v>
      </c>
      <c r="C442" t="s">
        <v>282</v>
      </c>
    </row>
    <row r="443" spans="1:3" x14ac:dyDescent="0.25">
      <c r="A443">
        <v>5</v>
      </c>
      <c r="B443">
        <v>84</v>
      </c>
      <c r="C443" t="s">
        <v>282</v>
      </c>
    </row>
    <row r="444" spans="1:3" x14ac:dyDescent="0.25">
      <c r="A444">
        <v>6</v>
      </c>
      <c r="B444">
        <v>86</v>
      </c>
      <c r="C444" t="s">
        <v>285</v>
      </c>
    </row>
    <row r="445" spans="1:3" x14ac:dyDescent="0.25">
      <c r="A445">
        <v>7</v>
      </c>
      <c r="B445">
        <v>85</v>
      </c>
      <c r="C445" t="s">
        <v>319</v>
      </c>
    </row>
    <row r="446" spans="1:3" x14ac:dyDescent="0.25">
      <c r="A446">
        <v>8</v>
      </c>
      <c r="B446">
        <v>84</v>
      </c>
      <c r="C446" t="s">
        <v>282</v>
      </c>
    </row>
    <row r="447" spans="1:3" x14ac:dyDescent="0.25">
      <c r="A447">
        <v>9</v>
      </c>
      <c r="B447">
        <v>84</v>
      </c>
      <c r="C447" t="s">
        <v>282</v>
      </c>
    </row>
    <row r="448" spans="1:3" x14ac:dyDescent="0.25">
      <c r="A448">
        <v>10</v>
      </c>
      <c r="B448">
        <v>86</v>
      </c>
      <c r="C448" t="s">
        <v>285</v>
      </c>
    </row>
    <row r="449" spans="1:3" x14ac:dyDescent="0.25">
      <c r="A449">
        <v>11</v>
      </c>
      <c r="B449">
        <v>95</v>
      </c>
      <c r="C449" t="s">
        <v>320</v>
      </c>
    </row>
    <row r="450" spans="1:3" x14ac:dyDescent="0.25">
      <c r="A450">
        <v>12</v>
      </c>
      <c r="B450">
        <v>83</v>
      </c>
      <c r="C450" t="s">
        <v>330</v>
      </c>
    </row>
    <row r="451" spans="1:3" x14ac:dyDescent="0.25">
      <c r="A451">
        <v>13</v>
      </c>
      <c r="B451">
        <v>92</v>
      </c>
      <c r="C451" t="s">
        <v>283</v>
      </c>
    </row>
    <row r="452" spans="1:3" x14ac:dyDescent="0.25">
      <c r="A452">
        <v>14</v>
      </c>
      <c r="B452">
        <v>87</v>
      </c>
      <c r="C452" t="s">
        <v>329</v>
      </c>
    </row>
    <row r="453" spans="1:3" x14ac:dyDescent="0.25">
      <c r="A453">
        <v>15</v>
      </c>
      <c r="B453">
        <v>89</v>
      </c>
      <c r="C453" t="s">
        <v>332</v>
      </c>
    </row>
    <row r="454" spans="1:3" x14ac:dyDescent="0.25">
      <c r="A454">
        <v>16</v>
      </c>
      <c r="B454">
        <v>85</v>
      </c>
      <c r="C454" t="s">
        <v>319</v>
      </c>
    </row>
    <row r="455" spans="1:3" x14ac:dyDescent="0.25">
      <c r="A455">
        <v>17</v>
      </c>
      <c r="B455">
        <v>86</v>
      </c>
      <c r="C455" t="s">
        <v>285</v>
      </c>
    </row>
    <row r="456" spans="1:3" x14ac:dyDescent="0.25">
      <c r="A456">
        <v>18</v>
      </c>
      <c r="B456">
        <v>80</v>
      </c>
      <c r="C456" t="s">
        <v>263</v>
      </c>
    </row>
    <row r="457" spans="1:3" x14ac:dyDescent="0.25">
      <c r="A457">
        <v>19</v>
      </c>
      <c r="B457">
        <v>90</v>
      </c>
      <c r="C457" t="s">
        <v>284</v>
      </c>
    </row>
    <row r="458" spans="1:3" x14ac:dyDescent="0.25">
      <c r="A458">
        <v>20</v>
      </c>
      <c r="B458">
        <v>86</v>
      </c>
      <c r="C458" t="s">
        <v>285</v>
      </c>
    </row>
    <row r="459" spans="1:3" x14ac:dyDescent="0.25">
      <c r="A459">
        <v>21</v>
      </c>
      <c r="B459">
        <v>85</v>
      </c>
      <c r="C459" t="s">
        <v>319</v>
      </c>
    </row>
    <row r="460" spans="1:3" x14ac:dyDescent="0.25">
      <c r="A460">
        <v>22</v>
      </c>
      <c r="B460">
        <v>91</v>
      </c>
      <c r="C460" t="s">
        <v>331</v>
      </c>
    </row>
    <row r="461" spans="1:3" x14ac:dyDescent="0.25">
      <c r="A461">
        <v>23</v>
      </c>
      <c r="B461">
        <v>92</v>
      </c>
      <c r="C461" t="s">
        <v>283</v>
      </c>
    </row>
    <row r="462" spans="1:3" x14ac:dyDescent="0.25">
      <c r="A462" t="s">
        <v>257</v>
      </c>
      <c r="B462" t="s">
        <v>281</v>
      </c>
      <c r="C462" t="s">
        <v>258</v>
      </c>
    </row>
    <row r="463" spans="1:3" x14ac:dyDescent="0.25">
      <c r="A463">
        <v>24</v>
      </c>
      <c r="B463">
        <v>91</v>
      </c>
      <c r="C463" t="s">
        <v>331</v>
      </c>
    </row>
    <row r="464" spans="1:3" x14ac:dyDescent="0.25">
      <c r="A464">
        <v>25</v>
      </c>
      <c r="B464">
        <v>89</v>
      </c>
      <c r="C464" t="s">
        <v>332</v>
      </c>
    </row>
    <row r="465" spans="1:3" x14ac:dyDescent="0.25">
      <c r="A465">
        <v>26</v>
      </c>
      <c r="B465">
        <v>86</v>
      </c>
      <c r="C465" t="s">
        <v>285</v>
      </c>
    </row>
    <row r="466" spans="1:3" x14ac:dyDescent="0.25">
      <c r="A466">
        <v>27</v>
      </c>
      <c r="B466">
        <v>84</v>
      </c>
      <c r="C466" t="s">
        <v>282</v>
      </c>
    </row>
    <row r="467" spans="1:3" x14ac:dyDescent="0.25">
      <c r="A467">
        <v>28</v>
      </c>
      <c r="B467">
        <v>86</v>
      </c>
      <c r="C467" t="s">
        <v>285</v>
      </c>
    </row>
    <row r="468" spans="1:3" x14ac:dyDescent="0.25">
      <c r="A468">
        <v>29</v>
      </c>
      <c r="B468">
        <v>86</v>
      </c>
      <c r="C468" t="s">
        <v>285</v>
      </c>
    </row>
    <row r="469" spans="1:3" x14ac:dyDescent="0.25">
      <c r="A469">
        <v>30</v>
      </c>
      <c r="B469">
        <v>87</v>
      </c>
      <c r="C469" t="s">
        <v>329</v>
      </c>
    </row>
    <row r="470" spans="1:3" x14ac:dyDescent="0.25">
      <c r="A470">
        <v>31</v>
      </c>
      <c r="B470">
        <v>88</v>
      </c>
      <c r="C470" t="s">
        <v>286</v>
      </c>
    </row>
    <row r="471" spans="1:3" x14ac:dyDescent="0.25">
      <c r="A471">
        <v>32</v>
      </c>
      <c r="B471">
        <v>83</v>
      </c>
      <c r="C471" t="s">
        <v>330</v>
      </c>
    </row>
    <row r="472" spans="1:3" x14ac:dyDescent="0.25">
      <c r="A472">
        <v>33</v>
      </c>
      <c r="B472">
        <v>86</v>
      </c>
      <c r="C472" t="s">
        <v>285</v>
      </c>
    </row>
    <row r="473" spans="1:3" x14ac:dyDescent="0.25">
      <c r="A473">
        <v>34</v>
      </c>
      <c r="B473">
        <v>86</v>
      </c>
      <c r="C473" t="s">
        <v>285</v>
      </c>
    </row>
    <row r="474" spans="1:3" x14ac:dyDescent="0.25">
      <c r="A474">
        <v>35</v>
      </c>
      <c r="B474">
        <v>93</v>
      </c>
      <c r="C474" t="s">
        <v>262</v>
      </c>
    </row>
    <row r="475" spans="1:3" x14ac:dyDescent="0.25">
      <c r="A475">
        <v>36</v>
      </c>
      <c r="B475">
        <v>90</v>
      </c>
      <c r="C475" t="s">
        <v>284</v>
      </c>
    </row>
    <row r="476" spans="1:3" x14ac:dyDescent="0.25">
      <c r="A476">
        <v>37</v>
      </c>
      <c r="B476">
        <v>85</v>
      </c>
      <c r="C476" t="s">
        <v>319</v>
      </c>
    </row>
    <row r="477" spans="1:3" x14ac:dyDescent="0.25">
      <c r="A477">
        <v>38</v>
      </c>
      <c r="B477">
        <v>89</v>
      </c>
      <c r="C477" t="s">
        <v>332</v>
      </c>
    </row>
    <row r="478" spans="1:3" x14ac:dyDescent="0.25">
      <c r="A478">
        <v>39</v>
      </c>
      <c r="B478">
        <v>88</v>
      </c>
      <c r="C478" t="s">
        <v>286</v>
      </c>
    </row>
    <row r="479" spans="1:3" x14ac:dyDescent="0.25">
      <c r="A479">
        <v>40</v>
      </c>
      <c r="B479">
        <v>84</v>
      </c>
      <c r="C479" t="s">
        <v>282</v>
      </c>
    </row>
    <row r="480" spans="1:3" x14ac:dyDescent="0.25">
      <c r="A480">
        <v>41</v>
      </c>
      <c r="B480">
        <v>88</v>
      </c>
      <c r="C480" t="s">
        <v>286</v>
      </c>
    </row>
    <row r="481" spans="1:3" x14ac:dyDescent="0.25">
      <c r="A481">
        <v>42</v>
      </c>
      <c r="B481">
        <v>84</v>
      </c>
      <c r="C481" t="s">
        <v>282</v>
      </c>
    </row>
    <row r="482" spans="1:3" x14ac:dyDescent="0.25">
      <c r="A482">
        <v>43</v>
      </c>
      <c r="B482">
        <v>86</v>
      </c>
      <c r="C482" t="s">
        <v>285</v>
      </c>
    </row>
    <row r="483" spans="1:3" hidden="1" x14ac:dyDescent="0.25">
      <c r="A483">
        <v>44</v>
      </c>
      <c r="B483">
        <v>84</v>
      </c>
      <c r="C483" t="s">
        <v>282</v>
      </c>
    </row>
    <row r="484" spans="1:3" hidden="1" x14ac:dyDescent="0.25">
      <c r="A484">
        <v>45</v>
      </c>
      <c r="B484">
        <v>87</v>
      </c>
      <c r="C484" t="s">
        <v>329</v>
      </c>
    </row>
    <row r="485" spans="1:3" hidden="1" x14ac:dyDescent="0.25">
      <c r="A485" t="s">
        <v>290</v>
      </c>
    </row>
    <row r="486" spans="1:3" hidden="1" x14ac:dyDescent="0.25">
      <c r="A486" t="s">
        <v>291</v>
      </c>
    </row>
    <row r="487" spans="1:3" hidden="1" x14ac:dyDescent="0.25">
      <c r="A487" t="s">
        <v>292</v>
      </c>
    </row>
    <row r="488" spans="1:3" hidden="1" x14ac:dyDescent="0.25">
      <c r="A488" t="s">
        <v>251</v>
      </c>
    </row>
    <row r="489" spans="1:3" hidden="1" x14ac:dyDescent="0.25">
      <c r="A489" t="s">
        <v>293</v>
      </c>
    </row>
    <row r="490" spans="1:3" hidden="1" x14ac:dyDescent="0.25">
      <c r="A490" t="s">
        <v>294</v>
      </c>
    </row>
    <row r="491" spans="1:3" hidden="1" x14ac:dyDescent="0.25">
      <c r="A491" t="s">
        <v>295</v>
      </c>
    </row>
    <row r="492" spans="1:3" hidden="1" x14ac:dyDescent="0.25">
      <c r="A492" t="s">
        <v>296</v>
      </c>
    </row>
    <row r="493" spans="1:3" hidden="1" x14ac:dyDescent="0.25">
      <c r="A493" t="s">
        <v>297</v>
      </c>
    </row>
    <row r="494" spans="1:3" hidden="1" x14ac:dyDescent="0.25">
      <c r="A494" t="s">
        <v>298</v>
      </c>
    </row>
    <row r="495" spans="1:3" hidden="1" x14ac:dyDescent="0.25"/>
    <row r="496" spans="1:3" hidden="1" x14ac:dyDescent="0.25"/>
    <row r="497" spans="1:1" hidden="1" x14ac:dyDescent="0.25">
      <c r="A497" t="s">
        <v>299</v>
      </c>
    </row>
    <row r="498" spans="1:1" hidden="1" x14ac:dyDescent="0.25">
      <c r="A498" t="s">
        <v>300</v>
      </c>
    </row>
    <row r="499" spans="1:1" hidden="1" x14ac:dyDescent="0.25">
      <c r="A499" t="s">
        <v>301</v>
      </c>
    </row>
    <row r="500" spans="1:1" hidden="1" x14ac:dyDescent="0.25">
      <c r="A500" t="s">
        <v>302</v>
      </c>
    </row>
    <row r="501" spans="1:1" hidden="1" x14ac:dyDescent="0.25"/>
    <row r="502" spans="1:1" hidden="1" x14ac:dyDescent="0.25"/>
    <row r="503" spans="1:1" hidden="1" x14ac:dyDescent="0.25">
      <c r="A503" t="s">
        <v>303</v>
      </c>
    </row>
    <row r="504" spans="1:1" hidden="1" x14ac:dyDescent="0.25">
      <c r="A504" t="s">
        <v>304</v>
      </c>
    </row>
    <row r="505" spans="1:1" hidden="1" x14ac:dyDescent="0.25">
      <c r="A505" t="s">
        <v>432</v>
      </c>
    </row>
    <row r="506" spans="1:1" hidden="1" x14ac:dyDescent="0.25">
      <c r="A506" t="s">
        <v>305</v>
      </c>
    </row>
    <row r="507" spans="1:1" hidden="1" x14ac:dyDescent="0.25">
      <c r="A507" t="s">
        <v>306</v>
      </c>
    </row>
    <row r="508" spans="1:1" x14ac:dyDescent="0.25">
      <c r="A508" t="s">
        <v>307</v>
      </c>
    </row>
    <row r="509" spans="1:1" x14ac:dyDescent="0.25">
      <c r="A509" t="s">
        <v>308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9"/>
  <sheetViews>
    <sheetView topLeftCell="A359" workbookViewId="0">
      <selection activeCell="A428" sqref="A428"/>
    </sheetView>
  </sheetViews>
  <sheetFormatPr baseColWidth="10" defaultRowHeight="15" x14ac:dyDescent="0.25"/>
  <cols>
    <col min="1" max="1" width="8.28515625" customWidth="1"/>
    <col min="3" max="3" width="13.28515625" bestFit="1" customWidth="1"/>
    <col min="4" max="4" width="5.5703125" customWidth="1"/>
    <col min="5" max="5" width="10.7109375" customWidth="1"/>
    <col min="6" max="6" width="11" customWidth="1"/>
    <col min="7" max="7" width="8.140625" customWidth="1"/>
  </cols>
  <sheetData>
    <row r="1" spans="1:1" hidden="1" x14ac:dyDescent="0.25">
      <c r="A1" t="s">
        <v>32</v>
      </c>
    </row>
    <row r="2" spans="1:1" hidden="1" x14ac:dyDescent="0.25">
      <c r="A2" t="s">
        <v>33</v>
      </c>
    </row>
    <row r="3" spans="1:1" hidden="1" x14ac:dyDescent="0.25">
      <c r="A3" t="s">
        <v>34</v>
      </c>
    </row>
    <row r="4" spans="1:1" hidden="1" x14ac:dyDescent="0.25">
      <c r="A4" t="s">
        <v>35</v>
      </c>
    </row>
    <row r="5" spans="1:1" hidden="1" x14ac:dyDescent="0.25">
      <c r="A5" t="s">
        <v>36</v>
      </c>
    </row>
    <row r="6" spans="1:1" hidden="1" x14ac:dyDescent="0.25">
      <c r="A6" t="s">
        <v>37</v>
      </c>
    </row>
    <row r="7" spans="1:1" hidden="1" x14ac:dyDescent="0.25">
      <c r="A7" t="s">
        <v>38</v>
      </c>
    </row>
    <row r="8" spans="1:1" hidden="1" x14ac:dyDescent="0.25">
      <c r="A8" t="s">
        <v>39</v>
      </c>
    </row>
    <row r="9" spans="1:1" hidden="1" x14ac:dyDescent="0.25">
      <c r="A9" t="s">
        <v>40</v>
      </c>
    </row>
    <row r="10" spans="1:1" hidden="1" x14ac:dyDescent="0.25">
      <c r="A10" t="s">
        <v>41</v>
      </c>
    </row>
    <row r="11" spans="1:1" hidden="1" x14ac:dyDescent="0.25">
      <c r="A11" t="s">
        <v>42</v>
      </c>
    </row>
    <row r="12" spans="1:1" hidden="1" x14ac:dyDescent="0.25">
      <c r="A12" t="s">
        <v>43</v>
      </c>
    </row>
    <row r="13" spans="1:1" hidden="1" x14ac:dyDescent="0.25">
      <c r="A13" t="s">
        <v>44</v>
      </c>
    </row>
    <row r="14" spans="1:1" hidden="1" x14ac:dyDescent="0.25">
      <c r="A14" t="s">
        <v>45</v>
      </c>
    </row>
    <row r="15" spans="1:1" hidden="1" x14ac:dyDescent="0.25">
      <c r="A15" t="s">
        <v>46</v>
      </c>
    </row>
    <row r="16" spans="1:1" hidden="1" x14ac:dyDescent="0.25">
      <c r="A16" t="s">
        <v>47</v>
      </c>
    </row>
    <row r="17" spans="1:1" hidden="1" x14ac:dyDescent="0.25">
      <c r="A17" t="s">
        <v>48</v>
      </c>
    </row>
    <row r="18" spans="1:1" hidden="1" x14ac:dyDescent="0.25">
      <c r="A18" t="s">
        <v>49</v>
      </c>
    </row>
    <row r="19" spans="1:1" hidden="1" x14ac:dyDescent="0.25">
      <c r="A19" t="s">
        <v>50</v>
      </c>
    </row>
    <row r="20" spans="1:1" hidden="1" x14ac:dyDescent="0.25">
      <c r="A20" t="s">
        <v>51</v>
      </c>
    </row>
    <row r="21" spans="1:1" hidden="1" x14ac:dyDescent="0.25">
      <c r="A21" t="s">
        <v>52</v>
      </c>
    </row>
    <row r="22" spans="1:1" hidden="1" x14ac:dyDescent="0.25">
      <c r="A22" t="s">
        <v>53</v>
      </c>
    </row>
    <row r="23" spans="1:1" hidden="1" x14ac:dyDescent="0.25">
      <c r="A23" t="s">
        <v>54</v>
      </c>
    </row>
    <row r="24" spans="1:1" hidden="1" x14ac:dyDescent="0.25">
      <c r="A24" t="s">
        <v>55</v>
      </c>
    </row>
    <row r="25" spans="1:1" hidden="1" x14ac:dyDescent="0.25">
      <c r="A25" t="s">
        <v>56</v>
      </c>
    </row>
    <row r="26" spans="1:1" hidden="1" x14ac:dyDescent="0.25">
      <c r="A26" t="s">
        <v>57</v>
      </c>
    </row>
    <row r="27" spans="1:1" hidden="1" x14ac:dyDescent="0.25">
      <c r="A27" t="s">
        <v>58</v>
      </c>
    </row>
    <row r="28" spans="1:1" hidden="1" x14ac:dyDescent="0.25">
      <c r="A28" t="s">
        <v>59</v>
      </c>
    </row>
    <row r="29" spans="1:1" hidden="1" x14ac:dyDescent="0.25">
      <c r="A29" t="s">
        <v>60</v>
      </c>
    </row>
    <row r="30" spans="1:1" hidden="1" x14ac:dyDescent="0.25">
      <c r="A30" t="s">
        <v>61</v>
      </c>
    </row>
    <row r="31" spans="1:1" hidden="1" x14ac:dyDescent="0.25">
      <c r="A31" t="s">
        <v>62</v>
      </c>
    </row>
    <row r="32" spans="1:1" hidden="1" x14ac:dyDescent="0.25">
      <c r="A32" t="s">
        <v>63</v>
      </c>
    </row>
    <row r="33" spans="1:1" hidden="1" x14ac:dyDescent="0.25">
      <c r="A33" t="s">
        <v>64</v>
      </c>
    </row>
    <row r="34" spans="1:1" hidden="1" x14ac:dyDescent="0.25">
      <c r="A34" t="s">
        <v>65</v>
      </c>
    </row>
    <row r="35" spans="1:1" hidden="1" x14ac:dyDescent="0.25">
      <c r="A35" t="s">
        <v>66</v>
      </c>
    </row>
    <row r="36" spans="1:1" hidden="1" x14ac:dyDescent="0.25">
      <c r="A36" t="s">
        <v>67</v>
      </c>
    </row>
    <row r="37" spans="1:1" hidden="1" x14ac:dyDescent="0.25">
      <c r="A37" t="s">
        <v>68</v>
      </c>
    </row>
    <row r="38" spans="1:1" hidden="1" x14ac:dyDescent="0.25">
      <c r="A38" t="s">
        <v>69</v>
      </c>
    </row>
    <row r="39" spans="1:1" hidden="1" x14ac:dyDescent="0.25">
      <c r="A39" t="s">
        <v>70</v>
      </c>
    </row>
    <row r="40" spans="1:1" hidden="1" x14ac:dyDescent="0.25">
      <c r="A40" t="s">
        <v>71</v>
      </c>
    </row>
    <row r="41" spans="1:1" hidden="1" x14ac:dyDescent="0.25">
      <c r="A41" t="s">
        <v>72</v>
      </c>
    </row>
    <row r="42" spans="1:1" hidden="1" x14ac:dyDescent="0.25">
      <c r="A42" t="s">
        <v>73</v>
      </c>
    </row>
    <row r="43" spans="1:1" hidden="1" x14ac:dyDescent="0.25">
      <c r="A43" t="s">
        <v>74</v>
      </c>
    </row>
    <row r="44" spans="1:1" hidden="1" x14ac:dyDescent="0.25">
      <c r="A44" t="s">
        <v>75</v>
      </c>
    </row>
    <row r="45" spans="1:1" hidden="1" x14ac:dyDescent="0.25">
      <c r="A45" t="s">
        <v>76</v>
      </c>
    </row>
    <row r="46" spans="1:1" hidden="1" x14ac:dyDescent="0.25">
      <c r="A46" t="s">
        <v>77</v>
      </c>
    </row>
    <row r="47" spans="1:1" hidden="1" x14ac:dyDescent="0.25">
      <c r="A47" t="s">
        <v>78</v>
      </c>
    </row>
    <row r="48" spans="1:1" hidden="1" x14ac:dyDescent="0.25">
      <c r="A48" t="s">
        <v>79</v>
      </c>
    </row>
    <row r="49" spans="1:1" hidden="1" x14ac:dyDescent="0.25">
      <c r="A49" t="s">
        <v>80</v>
      </c>
    </row>
    <row r="50" spans="1:1" hidden="1" x14ac:dyDescent="0.25">
      <c r="A50" t="s">
        <v>81</v>
      </c>
    </row>
    <row r="51" spans="1:1" hidden="1" x14ac:dyDescent="0.25">
      <c r="A51" t="s">
        <v>351</v>
      </c>
    </row>
    <row r="52" spans="1:1" hidden="1" x14ac:dyDescent="0.25">
      <c r="A52" t="s">
        <v>82</v>
      </c>
    </row>
    <row r="53" spans="1:1" hidden="1" x14ac:dyDescent="0.25">
      <c r="A53" t="s">
        <v>352</v>
      </c>
    </row>
    <row r="54" spans="1:1" hidden="1" x14ac:dyDescent="0.25">
      <c r="A54" t="s">
        <v>83</v>
      </c>
    </row>
    <row r="55" spans="1:1" hidden="1" x14ac:dyDescent="0.25">
      <c r="A55" t="s">
        <v>353</v>
      </c>
    </row>
    <row r="56" spans="1:1" hidden="1" x14ac:dyDescent="0.25">
      <c r="A56" t="s">
        <v>84</v>
      </c>
    </row>
    <row r="57" spans="1:1" hidden="1" x14ac:dyDescent="0.25">
      <c r="A57" t="s">
        <v>354</v>
      </c>
    </row>
    <row r="58" spans="1:1" hidden="1" x14ac:dyDescent="0.25">
      <c r="A58" t="s">
        <v>85</v>
      </c>
    </row>
    <row r="59" spans="1:1" hidden="1" x14ac:dyDescent="0.25">
      <c r="A59" t="s">
        <v>86</v>
      </c>
    </row>
    <row r="60" spans="1:1" hidden="1" x14ac:dyDescent="0.25">
      <c r="A60" t="s">
        <v>87</v>
      </c>
    </row>
    <row r="61" spans="1:1" hidden="1" x14ac:dyDescent="0.25">
      <c r="A61" t="s">
        <v>88</v>
      </c>
    </row>
    <row r="62" spans="1:1" hidden="1" x14ac:dyDescent="0.25">
      <c r="A62" t="s">
        <v>89</v>
      </c>
    </row>
    <row r="63" spans="1:1" hidden="1" x14ac:dyDescent="0.25">
      <c r="A63" t="s">
        <v>355</v>
      </c>
    </row>
    <row r="64" spans="1:1" hidden="1" x14ac:dyDescent="0.25">
      <c r="A64" t="s">
        <v>90</v>
      </c>
    </row>
    <row r="65" spans="1:1" hidden="1" x14ac:dyDescent="0.25">
      <c r="A65" t="s">
        <v>91</v>
      </c>
    </row>
    <row r="66" spans="1:1" hidden="1" x14ac:dyDescent="0.25">
      <c r="A66" t="s">
        <v>92</v>
      </c>
    </row>
    <row r="67" spans="1:1" hidden="1" x14ac:dyDescent="0.25">
      <c r="A67" t="s">
        <v>93</v>
      </c>
    </row>
    <row r="68" spans="1:1" hidden="1" x14ac:dyDescent="0.25">
      <c r="A68" t="s">
        <v>94</v>
      </c>
    </row>
    <row r="69" spans="1:1" hidden="1" x14ac:dyDescent="0.25">
      <c r="A69" t="s">
        <v>356</v>
      </c>
    </row>
    <row r="70" spans="1:1" hidden="1" x14ac:dyDescent="0.25">
      <c r="A70" t="s">
        <v>95</v>
      </c>
    </row>
    <row r="71" spans="1:1" hidden="1" x14ac:dyDescent="0.25">
      <c r="A71" t="s">
        <v>96</v>
      </c>
    </row>
    <row r="72" spans="1:1" hidden="1" x14ac:dyDescent="0.25">
      <c r="A72" t="s">
        <v>357</v>
      </c>
    </row>
    <row r="73" spans="1:1" hidden="1" x14ac:dyDescent="0.25">
      <c r="A73" t="s">
        <v>97</v>
      </c>
    </row>
    <row r="74" spans="1:1" hidden="1" x14ac:dyDescent="0.25">
      <c r="A74" t="s">
        <v>358</v>
      </c>
    </row>
    <row r="75" spans="1:1" hidden="1" x14ac:dyDescent="0.25">
      <c r="A75" t="s">
        <v>98</v>
      </c>
    </row>
    <row r="76" spans="1:1" hidden="1" x14ac:dyDescent="0.25">
      <c r="A76" t="s">
        <v>359</v>
      </c>
    </row>
    <row r="77" spans="1:1" hidden="1" x14ac:dyDescent="0.25">
      <c r="A77" t="s">
        <v>99</v>
      </c>
    </row>
    <row r="78" spans="1:1" hidden="1" x14ac:dyDescent="0.25">
      <c r="A78" t="s">
        <v>360</v>
      </c>
    </row>
    <row r="79" spans="1:1" hidden="1" x14ac:dyDescent="0.25">
      <c r="A79" t="s">
        <v>100</v>
      </c>
    </row>
    <row r="80" spans="1:1" hidden="1" x14ac:dyDescent="0.25">
      <c r="A80" t="s">
        <v>94</v>
      </c>
    </row>
    <row r="81" spans="1:1" hidden="1" x14ac:dyDescent="0.25">
      <c r="A81" t="s">
        <v>356</v>
      </c>
    </row>
    <row r="82" spans="1:1" hidden="1" x14ac:dyDescent="0.25">
      <c r="A82" t="s">
        <v>101</v>
      </c>
    </row>
    <row r="83" spans="1:1" hidden="1" x14ac:dyDescent="0.25">
      <c r="A83" t="s">
        <v>361</v>
      </c>
    </row>
    <row r="84" spans="1:1" hidden="1" x14ac:dyDescent="0.25">
      <c r="A84" t="s">
        <v>102</v>
      </c>
    </row>
    <row r="85" spans="1:1" hidden="1" x14ac:dyDescent="0.25">
      <c r="A85" t="s">
        <v>103</v>
      </c>
    </row>
    <row r="86" spans="1:1" hidden="1" x14ac:dyDescent="0.25">
      <c r="A86" t="s">
        <v>362</v>
      </c>
    </row>
    <row r="87" spans="1:1" hidden="1" x14ac:dyDescent="0.25">
      <c r="A87" t="s">
        <v>104</v>
      </c>
    </row>
    <row r="88" spans="1:1" hidden="1" x14ac:dyDescent="0.25">
      <c r="A88" t="s">
        <v>363</v>
      </c>
    </row>
    <row r="89" spans="1:1" hidden="1" x14ac:dyDescent="0.25">
      <c r="A89" t="s">
        <v>105</v>
      </c>
    </row>
    <row r="90" spans="1:1" hidden="1" x14ac:dyDescent="0.25">
      <c r="A90" t="s">
        <v>106</v>
      </c>
    </row>
    <row r="91" spans="1:1" hidden="1" x14ac:dyDescent="0.25">
      <c r="A91" t="s">
        <v>364</v>
      </c>
    </row>
    <row r="92" spans="1:1" hidden="1" x14ac:dyDescent="0.25">
      <c r="A92" t="s">
        <v>107</v>
      </c>
    </row>
    <row r="93" spans="1:1" hidden="1" x14ac:dyDescent="0.25">
      <c r="A93" t="s">
        <v>108</v>
      </c>
    </row>
    <row r="94" spans="1:1" hidden="1" x14ac:dyDescent="0.25">
      <c r="A94" t="s">
        <v>365</v>
      </c>
    </row>
    <row r="95" spans="1:1" hidden="1" x14ac:dyDescent="0.25">
      <c r="A95" t="s">
        <v>109</v>
      </c>
    </row>
    <row r="96" spans="1:1" hidden="1" x14ac:dyDescent="0.25">
      <c r="A96" t="s">
        <v>366</v>
      </c>
    </row>
    <row r="97" spans="1:1" hidden="1" x14ac:dyDescent="0.25">
      <c r="A97" t="s">
        <v>110</v>
      </c>
    </row>
    <row r="98" spans="1:1" hidden="1" x14ac:dyDescent="0.25">
      <c r="A98" t="s">
        <v>367</v>
      </c>
    </row>
    <row r="99" spans="1:1" hidden="1" x14ac:dyDescent="0.25">
      <c r="A99" t="s">
        <v>111</v>
      </c>
    </row>
    <row r="100" spans="1:1" hidden="1" x14ac:dyDescent="0.25">
      <c r="A100" t="s">
        <v>368</v>
      </c>
    </row>
    <row r="101" spans="1:1" hidden="1" x14ac:dyDescent="0.25">
      <c r="A101" t="s">
        <v>112</v>
      </c>
    </row>
    <row r="102" spans="1:1" hidden="1" x14ac:dyDescent="0.25">
      <c r="A102" t="s">
        <v>369</v>
      </c>
    </row>
    <row r="103" spans="1:1" hidden="1" x14ac:dyDescent="0.25">
      <c r="A103" t="s">
        <v>113</v>
      </c>
    </row>
    <row r="104" spans="1:1" hidden="1" x14ac:dyDescent="0.25">
      <c r="A104" t="s">
        <v>370</v>
      </c>
    </row>
    <row r="105" spans="1:1" hidden="1" x14ac:dyDescent="0.25">
      <c r="A105" t="s">
        <v>114</v>
      </c>
    </row>
    <row r="106" spans="1:1" hidden="1" x14ac:dyDescent="0.25">
      <c r="A106" t="s">
        <v>371</v>
      </c>
    </row>
    <row r="107" spans="1:1" hidden="1" x14ac:dyDescent="0.25">
      <c r="A107" t="s">
        <v>309</v>
      </c>
    </row>
    <row r="108" spans="1:1" hidden="1" x14ac:dyDescent="0.25">
      <c r="A108" t="s">
        <v>372</v>
      </c>
    </row>
    <row r="109" spans="1:1" hidden="1" x14ac:dyDescent="0.25">
      <c r="A109" t="s">
        <v>310</v>
      </c>
    </row>
    <row r="110" spans="1:1" hidden="1" x14ac:dyDescent="0.25">
      <c r="A110" t="s">
        <v>373</v>
      </c>
    </row>
    <row r="111" spans="1:1" hidden="1" x14ac:dyDescent="0.25">
      <c r="A111" t="s">
        <v>311</v>
      </c>
    </row>
    <row r="112" spans="1:1" hidden="1" x14ac:dyDescent="0.25">
      <c r="A112" t="s">
        <v>312</v>
      </c>
    </row>
    <row r="113" spans="1:1" hidden="1" x14ac:dyDescent="0.25">
      <c r="A113" t="s">
        <v>369</v>
      </c>
    </row>
    <row r="114" spans="1:1" hidden="1" x14ac:dyDescent="0.25">
      <c r="A114" t="s">
        <v>115</v>
      </c>
    </row>
    <row r="115" spans="1:1" hidden="1" x14ac:dyDescent="0.25">
      <c r="A115" t="s">
        <v>374</v>
      </c>
    </row>
    <row r="116" spans="1:1" hidden="1" x14ac:dyDescent="0.25">
      <c r="A116" t="s">
        <v>94</v>
      </c>
    </row>
    <row r="117" spans="1:1" hidden="1" x14ac:dyDescent="0.25">
      <c r="A117" t="s">
        <v>356</v>
      </c>
    </row>
    <row r="118" spans="1:1" hidden="1" x14ac:dyDescent="0.25">
      <c r="A118" t="s">
        <v>116</v>
      </c>
    </row>
    <row r="119" spans="1:1" hidden="1" x14ac:dyDescent="0.25">
      <c r="A119" t="s">
        <v>117</v>
      </c>
    </row>
    <row r="120" spans="1:1" hidden="1" x14ac:dyDescent="0.25">
      <c r="A120" t="s">
        <v>375</v>
      </c>
    </row>
    <row r="121" spans="1:1" hidden="1" x14ac:dyDescent="0.25">
      <c r="A121" t="s">
        <v>118</v>
      </c>
    </row>
    <row r="122" spans="1:1" hidden="1" x14ac:dyDescent="0.25">
      <c r="A122" t="s">
        <v>376</v>
      </c>
    </row>
    <row r="123" spans="1:1" hidden="1" x14ac:dyDescent="0.25">
      <c r="A123" t="s">
        <v>119</v>
      </c>
    </row>
    <row r="124" spans="1:1" hidden="1" x14ac:dyDescent="0.25">
      <c r="A124" t="s">
        <v>377</v>
      </c>
    </row>
    <row r="125" spans="1:1" hidden="1" x14ac:dyDescent="0.25">
      <c r="A125" t="s">
        <v>120</v>
      </c>
    </row>
    <row r="126" spans="1:1" hidden="1" x14ac:dyDescent="0.25">
      <c r="A126" t="s">
        <v>378</v>
      </c>
    </row>
    <row r="127" spans="1:1" hidden="1" x14ac:dyDescent="0.25">
      <c r="A127" t="s">
        <v>121</v>
      </c>
    </row>
    <row r="128" spans="1:1" hidden="1" x14ac:dyDescent="0.25">
      <c r="A128" t="s">
        <v>122</v>
      </c>
    </row>
    <row r="129" spans="1:1" hidden="1" x14ac:dyDescent="0.25">
      <c r="A129" t="s">
        <v>379</v>
      </c>
    </row>
    <row r="130" spans="1:1" hidden="1" x14ac:dyDescent="0.25">
      <c r="A130" t="s">
        <v>123</v>
      </c>
    </row>
    <row r="131" spans="1:1" hidden="1" x14ac:dyDescent="0.25">
      <c r="A131" t="s">
        <v>124</v>
      </c>
    </row>
    <row r="132" spans="1:1" hidden="1" x14ac:dyDescent="0.25">
      <c r="A132" t="s">
        <v>380</v>
      </c>
    </row>
    <row r="133" spans="1:1" hidden="1" x14ac:dyDescent="0.25">
      <c r="A133" t="s">
        <v>125</v>
      </c>
    </row>
    <row r="134" spans="1:1" hidden="1" x14ac:dyDescent="0.25">
      <c r="A134" t="s">
        <v>126</v>
      </c>
    </row>
    <row r="135" spans="1:1" hidden="1" x14ac:dyDescent="0.25">
      <c r="A135" t="s">
        <v>381</v>
      </c>
    </row>
    <row r="136" spans="1:1" hidden="1" x14ac:dyDescent="0.25">
      <c r="A136" t="s">
        <v>127</v>
      </c>
    </row>
    <row r="137" spans="1:1" hidden="1" x14ac:dyDescent="0.25">
      <c r="A137" t="s">
        <v>382</v>
      </c>
    </row>
    <row r="138" spans="1:1" hidden="1" x14ac:dyDescent="0.25">
      <c r="A138" t="s">
        <v>128</v>
      </c>
    </row>
    <row r="139" spans="1:1" hidden="1" x14ac:dyDescent="0.25">
      <c r="A139" t="s">
        <v>129</v>
      </c>
    </row>
    <row r="140" spans="1:1" hidden="1" x14ac:dyDescent="0.25">
      <c r="A140" t="s">
        <v>130</v>
      </c>
    </row>
    <row r="141" spans="1:1" hidden="1" x14ac:dyDescent="0.25">
      <c r="A141" t="s">
        <v>131</v>
      </c>
    </row>
    <row r="142" spans="1:1" hidden="1" x14ac:dyDescent="0.25">
      <c r="A142" t="s">
        <v>132</v>
      </c>
    </row>
    <row r="143" spans="1:1" hidden="1" x14ac:dyDescent="0.25">
      <c r="A143" t="s">
        <v>133</v>
      </c>
    </row>
    <row r="144" spans="1:1" hidden="1" x14ac:dyDescent="0.25">
      <c r="A144" t="s">
        <v>134</v>
      </c>
    </row>
    <row r="145" spans="1:1" hidden="1" x14ac:dyDescent="0.25">
      <c r="A145" t="s">
        <v>135</v>
      </c>
    </row>
    <row r="146" spans="1:1" hidden="1" x14ac:dyDescent="0.25">
      <c r="A146" t="s">
        <v>136</v>
      </c>
    </row>
    <row r="147" spans="1:1" hidden="1" x14ac:dyDescent="0.25">
      <c r="A147" t="s">
        <v>137</v>
      </c>
    </row>
    <row r="148" spans="1:1" hidden="1" x14ac:dyDescent="0.25">
      <c r="A148" t="s">
        <v>97</v>
      </c>
    </row>
    <row r="149" spans="1:1" hidden="1" x14ac:dyDescent="0.25">
      <c r="A149" t="s">
        <v>138</v>
      </c>
    </row>
    <row r="150" spans="1:1" hidden="1" x14ac:dyDescent="0.25">
      <c r="A150" t="s">
        <v>139</v>
      </c>
    </row>
    <row r="151" spans="1:1" hidden="1" x14ac:dyDescent="0.25">
      <c r="A151" t="s">
        <v>140</v>
      </c>
    </row>
    <row r="152" spans="1:1" hidden="1" x14ac:dyDescent="0.25">
      <c r="A152" t="s">
        <v>141</v>
      </c>
    </row>
    <row r="153" spans="1:1" hidden="1" x14ac:dyDescent="0.25">
      <c r="A153" t="s">
        <v>142</v>
      </c>
    </row>
    <row r="154" spans="1:1" hidden="1" x14ac:dyDescent="0.25">
      <c r="A154" t="s">
        <v>143</v>
      </c>
    </row>
    <row r="155" spans="1:1" hidden="1" x14ac:dyDescent="0.25">
      <c r="A155" t="s">
        <v>383</v>
      </c>
    </row>
    <row r="156" spans="1:1" hidden="1" x14ac:dyDescent="0.25">
      <c r="A156" t="s">
        <v>144</v>
      </c>
    </row>
    <row r="157" spans="1:1" hidden="1" x14ac:dyDescent="0.25">
      <c r="A157" t="s">
        <v>383</v>
      </c>
    </row>
    <row r="158" spans="1:1" hidden="1" x14ac:dyDescent="0.25">
      <c r="A158" t="s">
        <v>145</v>
      </c>
    </row>
    <row r="159" spans="1:1" hidden="1" x14ac:dyDescent="0.25">
      <c r="A159" t="s">
        <v>146</v>
      </c>
    </row>
    <row r="160" spans="1:1" hidden="1" x14ac:dyDescent="0.25">
      <c r="A160" t="s">
        <v>147</v>
      </c>
    </row>
    <row r="161" spans="1:1" hidden="1" x14ac:dyDescent="0.25">
      <c r="A161" t="s">
        <v>148</v>
      </c>
    </row>
    <row r="162" spans="1:1" hidden="1" x14ac:dyDescent="0.25">
      <c r="A162" t="s">
        <v>149</v>
      </c>
    </row>
    <row r="163" spans="1:1" hidden="1" x14ac:dyDescent="0.25">
      <c r="A163" t="s">
        <v>150</v>
      </c>
    </row>
    <row r="164" spans="1:1" hidden="1" x14ac:dyDescent="0.25">
      <c r="A164" t="s">
        <v>384</v>
      </c>
    </row>
    <row r="165" spans="1:1" hidden="1" x14ac:dyDescent="0.25">
      <c r="A165" t="s">
        <v>151</v>
      </c>
    </row>
    <row r="166" spans="1:1" hidden="1" x14ac:dyDescent="0.25">
      <c r="A166" t="s">
        <v>152</v>
      </c>
    </row>
    <row r="167" spans="1:1" hidden="1" x14ac:dyDescent="0.25">
      <c r="A167" t="s">
        <v>153</v>
      </c>
    </row>
    <row r="168" spans="1:1" hidden="1" x14ac:dyDescent="0.25">
      <c r="A168" t="s">
        <v>385</v>
      </c>
    </row>
    <row r="169" spans="1:1" hidden="1" x14ac:dyDescent="0.25">
      <c r="A169" t="s">
        <v>154</v>
      </c>
    </row>
    <row r="170" spans="1:1" hidden="1" x14ac:dyDescent="0.25">
      <c r="A170" t="s">
        <v>386</v>
      </c>
    </row>
    <row r="171" spans="1:1" hidden="1" x14ac:dyDescent="0.25">
      <c r="A171" t="s">
        <v>155</v>
      </c>
    </row>
    <row r="172" spans="1:1" hidden="1" x14ac:dyDescent="0.25">
      <c r="A172" t="s">
        <v>387</v>
      </c>
    </row>
    <row r="173" spans="1:1" hidden="1" x14ac:dyDescent="0.25">
      <c r="A173" t="s">
        <v>156</v>
      </c>
    </row>
    <row r="174" spans="1:1" hidden="1" x14ac:dyDescent="0.25">
      <c r="A174" t="s">
        <v>157</v>
      </c>
    </row>
    <row r="175" spans="1:1" hidden="1" x14ac:dyDescent="0.25">
      <c r="A175" t="s">
        <v>388</v>
      </c>
    </row>
    <row r="176" spans="1:1" hidden="1" x14ac:dyDescent="0.25">
      <c r="A176" t="s">
        <v>158</v>
      </c>
    </row>
    <row r="177" spans="1:1" hidden="1" x14ac:dyDescent="0.25">
      <c r="A177" t="s">
        <v>97</v>
      </c>
    </row>
    <row r="178" spans="1:1" hidden="1" x14ac:dyDescent="0.25">
      <c r="A178" t="s">
        <v>354</v>
      </c>
    </row>
    <row r="179" spans="1:1" hidden="1" x14ac:dyDescent="0.25">
      <c r="A179" t="s">
        <v>159</v>
      </c>
    </row>
    <row r="180" spans="1:1" hidden="1" x14ac:dyDescent="0.25">
      <c r="A180" t="s">
        <v>160</v>
      </c>
    </row>
    <row r="181" spans="1:1" hidden="1" x14ac:dyDescent="0.25">
      <c r="A181" t="s">
        <v>161</v>
      </c>
    </row>
    <row r="182" spans="1:1" hidden="1" x14ac:dyDescent="0.25">
      <c r="A182" t="s">
        <v>94</v>
      </c>
    </row>
    <row r="183" spans="1:1" hidden="1" x14ac:dyDescent="0.25">
      <c r="A183" t="s">
        <v>356</v>
      </c>
    </row>
    <row r="184" spans="1:1" hidden="1" x14ac:dyDescent="0.25">
      <c r="A184" t="s">
        <v>162</v>
      </c>
    </row>
    <row r="185" spans="1:1" hidden="1" x14ac:dyDescent="0.25">
      <c r="A185" t="s">
        <v>94</v>
      </c>
    </row>
    <row r="186" spans="1:1" hidden="1" x14ac:dyDescent="0.25">
      <c r="A186" t="s">
        <v>356</v>
      </c>
    </row>
    <row r="187" spans="1:1" hidden="1" x14ac:dyDescent="0.25">
      <c r="A187" t="s">
        <v>138</v>
      </c>
    </row>
    <row r="188" spans="1:1" hidden="1" x14ac:dyDescent="0.25">
      <c r="A188" t="s">
        <v>163</v>
      </c>
    </row>
    <row r="189" spans="1:1" hidden="1" x14ac:dyDescent="0.25">
      <c r="A189" t="s">
        <v>164</v>
      </c>
    </row>
    <row r="190" spans="1:1" hidden="1" x14ac:dyDescent="0.25">
      <c r="A190" t="s">
        <v>389</v>
      </c>
    </row>
    <row r="191" spans="1:1" hidden="1" x14ac:dyDescent="0.25">
      <c r="A191" t="s">
        <v>165</v>
      </c>
    </row>
    <row r="192" spans="1:1" hidden="1" x14ac:dyDescent="0.25">
      <c r="A192" t="s">
        <v>390</v>
      </c>
    </row>
    <row r="193" spans="1:1" hidden="1" x14ac:dyDescent="0.25">
      <c r="A193" t="s">
        <v>166</v>
      </c>
    </row>
    <row r="194" spans="1:1" hidden="1" x14ac:dyDescent="0.25">
      <c r="A194" t="s">
        <v>94</v>
      </c>
    </row>
    <row r="195" spans="1:1" hidden="1" x14ac:dyDescent="0.25">
      <c r="A195" t="s">
        <v>356</v>
      </c>
    </row>
    <row r="196" spans="1:1" hidden="1" x14ac:dyDescent="0.25">
      <c r="A196" t="s">
        <v>167</v>
      </c>
    </row>
    <row r="197" spans="1:1" hidden="1" x14ac:dyDescent="0.25">
      <c r="A197" t="s">
        <v>391</v>
      </c>
    </row>
    <row r="198" spans="1:1" hidden="1" x14ac:dyDescent="0.25">
      <c r="A198" t="s">
        <v>138</v>
      </c>
    </row>
    <row r="199" spans="1:1" hidden="1" x14ac:dyDescent="0.25">
      <c r="A199" t="s">
        <v>94</v>
      </c>
    </row>
    <row r="200" spans="1:1" hidden="1" x14ac:dyDescent="0.25">
      <c r="A200" t="s">
        <v>356</v>
      </c>
    </row>
    <row r="201" spans="1:1" hidden="1" x14ac:dyDescent="0.25">
      <c r="A201" t="s">
        <v>168</v>
      </c>
    </row>
    <row r="202" spans="1:1" hidden="1" x14ac:dyDescent="0.25">
      <c r="A202" t="s">
        <v>392</v>
      </c>
    </row>
    <row r="203" spans="1:1" hidden="1" x14ac:dyDescent="0.25">
      <c r="A203" t="s">
        <v>169</v>
      </c>
    </row>
    <row r="204" spans="1:1" hidden="1" x14ac:dyDescent="0.25">
      <c r="A204" t="s">
        <v>393</v>
      </c>
    </row>
    <row r="205" spans="1:1" hidden="1" x14ac:dyDescent="0.25">
      <c r="A205" t="s">
        <v>97</v>
      </c>
    </row>
    <row r="206" spans="1:1" hidden="1" x14ac:dyDescent="0.25">
      <c r="A206" t="s">
        <v>394</v>
      </c>
    </row>
    <row r="207" spans="1:1" hidden="1" x14ac:dyDescent="0.25">
      <c r="A207" t="s">
        <v>170</v>
      </c>
    </row>
    <row r="208" spans="1:1" hidden="1" x14ac:dyDescent="0.25">
      <c r="A208" t="s">
        <v>171</v>
      </c>
    </row>
    <row r="209" spans="1:1" hidden="1" x14ac:dyDescent="0.25">
      <c r="A209" t="s">
        <v>395</v>
      </c>
    </row>
    <row r="210" spans="1:1" hidden="1" x14ac:dyDescent="0.25">
      <c r="A210" t="s">
        <v>172</v>
      </c>
    </row>
    <row r="211" spans="1:1" hidden="1" x14ac:dyDescent="0.25">
      <c r="A211" t="s">
        <v>173</v>
      </c>
    </row>
    <row r="212" spans="1:1" hidden="1" x14ac:dyDescent="0.25">
      <c r="A212" t="s">
        <v>94</v>
      </c>
    </row>
    <row r="213" spans="1:1" hidden="1" x14ac:dyDescent="0.25">
      <c r="A213" t="s">
        <v>356</v>
      </c>
    </row>
    <row r="214" spans="1:1" hidden="1" x14ac:dyDescent="0.25">
      <c r="A214" t="s">
        <v>138</v>
      </c>
    </row>
    <row r="215" spans="1:1" hidden="1" x14ac:dyDescent="0.25">
      <c r="A215" t="s">
        <v>174</v>
      </c>
    </row>
    <row r="216" spans="1:1" hidden="1" x14ac:dyDescent="0.25">
      <c r="A216" t="s">
        <v>396</v>
      </c>
    </row>
    <row r="217" spans="1:1" hidden="1" x14ac:dyDescent="0.25">
      <c r="A217" t="s">
        <v>175</v>
      </c>
    </row>
    <row r="218" spans="1:1" hidden="1" x14ac:dyDescent="0.25">
      <c r="A218" t="s">
        <v>97</v>
      </c>
    </row>
    <row r="219" spans="1:1" hidden="1" x14ac:dyDescent="0.25">
      <c r="A219" t="s">
        <v>354</v>
      </c>
    </row>
    <row r="220" spans="1:1" hidden="1" x14ac:dyDescent="0.25">
      <c r="A220" t="s">
        <v>176</v>
      </c>
    </row>
    <row r="221" spans="1:1" hidden="1" x14ac:dyDescent="0.25">
      <c r="A221" t="s">
        <v>397</v>
      </c>
    </row>
    <row r="222" spans="1:1" hidden="1" x14ac:dyDescent="0.25">
      <c r="A222" t="s">
        <v>177</v>
      </c>
    </row>
    <row r="223" spans="1:1" hidden="1" x14ac:dyDescent="0.25">
      <c r="A223" t="s">
        <v>178</v>
      </c>
    </row>
    <row r="224" spans="1:1" hidden="1" x14ac:dyDescent="0.25">
      <c r="A224" t="s">
        <v>96</v>
      </c>
    </row>
    <row r="225" spans="1:1" hidden="1" x14ac:dyDescent="0.25">
      <c r="A225" t="s">
        <v>179</v>
      </c>
    </row>
    <row r="226" spans="1:1" hidden="1" x14ac:dyDescent="0.25">
      <c r="A226" t="s">
        <v>94</v>
      </c>
    </row>
    <row r="227" spans="1:1" hidden="1" x14ac:dyDescent="0.25">
      <c r="A227" t="s">
        <v>356</v>
      </c>
    </row>
    <row r="228" spans="1:1" hidden="1" x14ac:dyDescent="0.25">
      <c r="A228" t="s">
        <v>180</v>
      </c>
    </row>
    <row r="229" spans="1:1" hidden="1" x14ac:dyDescent="0.25">
      <c r="A229" t="s">
        <v>181</v>
      </c>
    </row>
    <row r="230" spans="1:1" hidden="1" x14ac:dyDescent="0.25">
      <c r="A230" t="s">
        <v>182</v>
      </c>
    </row>
    <row r="231" spans="1:1" hidden="1" x14ac:dyDescent="0.25">
      <c r="A231" t="s">
        <v>183</v>
      </c>
    </row>
    <row r="232" spans="1:1" hidden="1" x14ac:dyDescent="0.25">
      <c r="A232" t="s">
        <v>184</v>
      </c>
    </row>
    <row r="233" spans="1:1" hidden="1" x14ac:dyDescent="0.25">
      <c r="A233" t="s">
        <v>185</v>
      </c>
    </row>
    <row r="234" spans="1:1" hidden="1" x14ac:dyDescent="0.25">
      <c r="A234" t="s">
        <v>186</v>
      </c>
    </row>
    <row r="235" spans="1:1" hidden="1" x14ac:dyDescent="0.25">
      <c r="A235" t="s">
        <v>187</v>
      </c>
    </row>
    <row r="236" spans="1:1" hidden="1" x14ac:dyDescent="0.25">
      <c r="A236" t="s">
        <v>188</v>
      </c>
    </row>
    <row r="237" spans="1:1" hidden="1" x14ac:dyDescent="0.25">
      <c r="A237" t="s">
        <v>189</v>
      </c>
    </row>
    <row r="238" spans="1:1" hidden="1" x14ac:dyDescent="0.25">
      <c r="A238" t="s">
        <v>190</v>
      </c>
    </row>
    <row r="239" spans="1:1" hidden="1" x14ac:dyDescent="0.25">
      <c r="A239" t="s">
        <v>191</v>
      </c>
    </row>
    <row r="240" spans="1:1" hidden="1" x14ac:dyDescent="0.25">
      <c r="A240" t="s">
        <v>192</v>
      </c>
    </row>
    <row r="241" spans="1:1" hidden="1" x14ac:dyDescent="0.25">
      <c r="A241" t="s">
        <v>193</v>
      </c>
    </row>
    <row r="242" spans="1:1" hidden="1" x14ac:dyDescent="0.25">
      <c r="A242" t="s">
        <v>194</v>
      </c>
    </row>
    <row r="243" spans="1:1" hidden="1" x14ac:dyDescent="0.25">
      <c r="A243" t="s">
        <v>195</v>
      </c>
    </row>
    <row r="244" spans="1:1" hidden="1" x14ac:dyDescent="0.25">
      <c r="A244" t="s">
        <v>196</v>
      </c>
    </row>
    <row r="245" spans="1:1" hidden="1" x14ac:dyDescent="0.25">
      <c r="A245" t="s">
        <v>197</v>
      </c>
    </row>
    <row r="246" spans="1:1" hidden="1" x14ac:dyDescent="0.25">
      <c r="A246" t="s">
        <v>198</v>
      </c>
    </row>
    <row r="247" spans="1:1" hidden="1" x14ac:dyDescent="0.25">
      <c r="A247" t="s">
        <v>199</v>
      </c>
    </row>
    <row r="248" spans="1:1" hidden="1" x14ac:dyDescent="0.25">
      <c r="A248" t="s">
        <v>200</v>
      </c>
    </row>
    <row r="249" spans="1:1" hidden="1" x14ac:dyDescent="0.25">
      <c r="A249" t="s">
        <v>201</v>
      </c>
    </row>
    <row r="250" spans="1:1" hidden="1" x14ac:dyDescent="0.25">
      <c r="A250" t="s">
        <v>398</v>
      </c>
    </row>
    <row r="251" spans="1:1" hidden="1" x14ac:dyDescent="0.25">
      <c r="A251" t="s">
        <v>94</v>
      </c>
    </row>
    <row r="252" spans="1:1" hidden="1" x14ac:dyDescent="0.25">
      <c r="A252" t="s">
        <v>399</v>
      </c>
    </row>
    <row r="253" spans="1:1" hidden="1" x14ac:dyDescent="0.25">
      <c r="A253" t="s">
        <v>138</v>
      </c>
    </row>
    <row r="254" spans="1:1" hidden="1" x14ac:dyDescent="0.25">
      <c r="A254" t="s">
        <v>400</v>
      </c>
    </row>
    <row r="255" spans="1:1" hidden="1" x14ac:dyDescent="0.25">
      <c r="A255" t="s">
        <v>202</v>
      </c>
    </row>
    <row r="256" spans="1:1" hidden="1" x14ac:dyDescent="0.25">
      <c r="A256" t="s">
        <v>97</v>
      </c>
    </row>
    <row r="257" spans="1:1" hidden="1" x14ac:dyDescent="0.25">
      <c r="A257" t="s">
        <v>354</v>
      </c>
    </row>
    <row r="258" spans="1:1" hidden="1" x14ac:dyDescent="0.25">
      <c r="A258" t="s">
        <v>203</v>
      </c>
    </row>
    <row r="259" spans="1:1" hidden="1" x14ac:dyDescent="0.25">
      <c r="A259" t="s">
        <v>204</v>
      </c>
    </row>
    <row r="260" spans="1:1" hidden="1" x14ac:dyDescent="0.25">
      <c r="A260" t="s">
        <v>401</v>
      </c>
    </row>
    <row r="261" spans="1:1" hidden="1" x14ac:dyDescent="0.25">
      <c r="A261" t="s">
        <v>205</v>
      </c>
    </row>
    <row r="262" spans="1:1" hidden="1" x14ac:dyDescent="0.25">
      <c r="A262" t="s">
        <v>402</v>
      </c>
    </row>
    <row r="263" spans="1:1" hidden="1" x14ac:dyDescent="0.25">
      <c r="A263" t="s">
        <v>103</v>
      </c>
    </row>
    <row r="264" spans="1:1" hidden="1" x14ac:dyDescent="0.25">
      <c r="A264" t="s">
        <v>403</v>
      </c>
    </row>
    <row r="265" spans="1:1" hidden="1" x14ac:dyDescent="0.25">
      <c r="A265" t="s">
        <v>206</v>
      </c>
    </row>
    <row r="266" spans="1:1" hidden="1" x14ac:dyDescent="0.25">
      <c r="A266" t="s">
        <v>207</v>
      </c>
    </row>
    <row r="267" spans="1:1" hidden="1" x14ac:dyDescent="0.25">
      <c r="A267" t="s">
        <v>404</v>
      </c>
    </row>
    <row r="268" spans="1:1" hidden="1" x14ac:dyDescent="0.25">
      <c r="A268" t="s">
        <v>208</v>
      </c>
    </row>
    <row r="269" spans="1:1" hidden="1" x14ac:dyDescent="0.25">
      <c r="A269" t="s">
        <v>209</v>
      </c>
    </row>
    <row r="270" spans="1:1" hidden="1" x14ac:dyDescent="0.25">
      <c r="A270" t="s">
        <v>97</v>
      </c>
    </row>
    <row r="271" spans="1:1" hidden="1" x14ac:dyDescent="0.25">
      <c r="A271" t="s">
        <v>405</v>
      </c>
    </row>
    <row r="272" spans="1:1" hidden="1" x14ac:dyDescent="0.25">
      <c r="A272" t="s">
        <v>210</v>
      </c>
    </row>
    <row r="273" spans="1:1" hidden="1" x14ac:dyDescent="0.25">
      <c r="A273" t="s">
        <v>406</v>
      </c>
    </row>
    <row r="274" spans="1:1" hidden="1" x14ac:dyDescent="0.25">
      <c r="A274" t="s">
        <v>211</v>
      </c>
    </row>
    <row r="275" spans="1:1" hidden="1" x14ac:dyDescent="0.25">
      <c r="A275" t="s">
        <v>212</v>
      </c>
    </row>
    <row r="276" spans="1:1" hidden="1" x14ac:dyDescent="0.25">
      <c r="A276" t="s">
        <v>213</v>
      </c>
    </row>
    <row r="277" spans="1:1" hidden="1" x14ac:dyDescent="0.25">
      <c r="A277" t="s">
        <v>214</v>
      </c>
    </row>
    <row r="278" spans="1:1" hidden="1" x14ac:dyDescent="0.25">
      <c r="A278" t="s">
        <v>215</v>
      </c>
    </row>
    <row r="279" spans="1:1" hidden="1" x14ac:dyDescent="0.25">
      <c r="A279" t="s">
        <v>407</v>
      </c>
    </row>
    <row r="280" spans="1:1" hidden="1" x14ac:dyDescent="0.25">
      <c r="A280" t="s">
        <v>216</v>
      </c>
    </row>
    <row r="281" spans="1:1" hidden="1" x14ac:dyDescent="0.25">
      <c r="A281" t="s">
        <v>408</v>
      </c>
    </row>
    <row r="282" spans="1:1" hidden="1" x14ac:dyDescent="0.25">
      <c r="A282" t="s">
        <v>217</v>
      </c>
    </row>
    <row r="283" spans="1:1" hidden="1" x14ac:dyDescent="0.25">
      <c r="A283" t="s">
        <v>409</v>
      </c>
    </row>
    <row r="284" spans="1:1" hidden="1" x14ac:dyDescent="0.25">
      <c r="A284" t="s">
        <v>218</v>
      </c>
    </row>
    <row r="285" spans="1:1" hidden="1" x14ac:dyDescent="0.25">
      <c r="A285" t="s">
        <v>410</v>
      </c>
    </row>
    <row r="286" spans="1:1" hidden="1" x14ac:dyDescent="0.25">
      <c r="A286" t="s">
        <v>219</v>
      </c>
    </row>
    <row r="287" spans="1:1" hidden="1" x14ac:dyDescent="0.25">
      <c r="A287" t="s">
        <v>411</v>
      </c>
    </row>
    <row r="288" spans="1:1" hidden="1" x14ac:dyDescent="0.25">
      <c r="A288" t="s">
        <v>220</v>
      </c>
    </row>
    <row r="289" spans="1:1" hidden="1" x14ac:dyDescent="0.25">
      <c r="A289" t="s">
        <v>221</v>
      </c>
    </row>
    <row r="290" spans="1:1" hidden="1" x14ac:dyDescent="0.25">
      <c r="A290" t="s">
        <v>412</v>
      </c>
    </row>
    <row r="291" spans="1:1" hidden="1" x14ac:dyDescent="0.25">
      <c r="A291" t="s">
        <v>222</v>
      </c>
    </row>
    <row r="292" spans="1:1" hidden="1" x14ac:dyDescent="0.25">
      <c r="A292" t="s">
        <v>413</v>
      </c>
    </row>
    <row r="293" spans="1:1" hidden="1" x14ac:dyDescent="0.25">
      <c r="A293" t="s">
        <v>223</v>
      </c>
    </row>
    <row r="294" spans="1:1" hidden="1" x14ac:dyDescent="0.25">
      <c r="A294" t="s">
        <v>224</v>
      </c>
    </row>
    <row r="295" spans="1:1" hidden="1" x14ac:dyDescent="0.25">
      <c r="A295" t="s">
        <v>414</v>
      </c>
    </row>
    <row r="296" spans="1:1" hidden="1" x14ac:dyDescent="0.25">
      <c r="A296" t="s">
        <v>225</v>
      </c>
    </row>
    <row r="297" spans="1:1" hidden="1" x14ac:dyDescent="0.25">
      <c r="A297" t="s">
        <v>415</v>
      </c>
    </row>
    <row r="298" spans="1:1" hidden="1" x14ac:dyDescent="0.25">
      <c r="A298" t="s">
        <v>226</v>
      </c>
    </row>
    <row r="299" spans="1:1" hidden="1" x14ac:dyDescent="0.25">
      <c r="A299" t="s">
        <v>416</v>
      </c>
    </row>
    <row r="300" spans="1:1" hidden="1" x14ac:dyDescent="0.25">
      <c r="A300" t="s">
        <v>227</v>
      </c>
    </row>
    <row r="301" spans="1:1" hidden="1" x14ac:dyDescent="0.25">
      <c r="A301" t="s">
        <v>228</v>
      </c>
    </row>
    <row r="302" spans="1:1" hidden="1" x14ac:dyDescent="0.25">
      <c r="A302" t="s">
        <v>229</v>
      </c>
    </row>
    <row r="303" spans="1:1" hidden="1" x14ac:dyDescent="0.25">
      <c r="A303" t="s">
        <v>230</v>
      </c>
    </row>
    <row r="304" spans="1:1" hidden="1" x14ac:dyDescent="0.25">
      <c r="A304" t="s">
        <v>417</v>
      </c>
    </row>
    <row r="305" spans="1:1" hidden="1" x14ac:dyDescent="0.25">
      <c r="A305" t="s">
        <v>84</v>
      </c>
    </row>
    <row r="306" spans="1:1" hidden="1" x14ac:dyDescent="0.25">
      <c r="A306" t="s">
        <v>354</v>
      </c>
    </row>
    <row r="307" spans="1:1" hidden="1" x14ac:dyDescent="0.25">
      <c r="A307" t="s">
        <v>102</v>
      </c>
    </row>
    <row r="308" spans="1:1" hidden="1" x14ac:dyDescent="0.25">
      <c r="A308" t="s">
        <v>96</v>
      </c>
    </row>
    <row r="309" spans="1:1" hidden="1" x14ac:dyDescent="0.25">
      <c r="A309" t="s">
        <v>418</v>
      </c>
    </row>
    <row r="310" spans="1:1" hidden="1" x14ac:dyDescent="0.25">
      <c r="A310" t="s">
        <v>231</v>
      </c>
    </row>
    <row r="311" spans="1:1" hidden="1" x14ac:dyDescent="0.25">
      <c r="A311" t="s">
        <v>419</v>
      </c>
    </row>
    <row r="312" spans="1:1" hidden="1" x14ac:dyDescent="0.25">
      <c r="A312" t="s">
        <v>230</v>
      </c>
    </row>
    <row r="313" spans="1:1" hidden="1" x14ac:dyDescent="0.25">
      <c r="A313" t="s">
        <v>420</v>
      </c>
    </row>
    <row r="314" spans="1:1" hidden="1" x14ac:dyDescent="0.25">
      <c r="A314" t="s">
        <v>232</v>
      </c>
    </row>
    <row r="315" spans="1:1" hidden="1" x14ac:dyDescent="0.25">
      <c r="A315" t="s">
        <v>421</v>
      </c>
    </row>
    <row r="316" spans="1:1" hidden="1" x14ac:dyDescent="0.25">
      <c r="A316" t="s">
        <v>233</v>
      </c>
    </row>
    <row r="317" spans="1:1" hidden="1" x14ac:dyDescent="0.25">
      <c r="A317" t="s">
        <v>356</v>
      </c>
    </row>
    <row r="318" spans="1:1" hidden="1" x14ac:dyDescent="0.25">
      <c r="A318" t="s">
        <v>234</v>
      </c>
    </row>
    <row r="319" spans="1:1" hidden="1" x14ac:dyDescent="0.25">
      <c r="A319" t="s">
        <v>235</v>
      </c>
    </row>
    <row r="320" spans="1:1" hidden="1" x14ac:dyDescent="0.25">
      <c r="A320" t="s">
        <v>236</v>
      </c>
    </row>
    <row r="321" spans="1:1" hidden="1" x14ac:dyDescent="0.25">
      <c r="A321" t="s">
        <v>422</v>
      </c>
    </row>
    <row r="322" spans="1:1" hidden="1" x14ac:dyDescent="0.25">
      <c r="A322" t="s">
        <v>237</v>
      </c>
    </row>
    <row r="323" spans="1:1" hidden="1" x14ac:dyDescent="0.25">
      <c r="A323" t="s">
        <v>238</v>
      </c>
    </row>
    <row r="324" spans="1:1" hidden="1" x14ac:dyDescent="0.25">
      <c r="A324" t="s">
        <v>356</v>
      </c>
    </row>
    <row r="325" spans="1:1" hidden="1" x14ac:dyDescent="0.25">
      <c r="A325" t="s">
        <v>239</v>
      </c>
    </row>
    <row r="326" spans="1:1" hidden="1" x14ac:dyDescent="0.25">
      <c r="A326" t="s">
        <v>138</v>
      </c>
    </row>
    <row r="327" spans="1:1" hidden="1" x14ac:dyDescent="0.25">
      <c r="A327" t="s">
        <v>94</v>
      </c>
    </row>
    <row r="328" spans="1:1" hidden="1" x14ac:dyDescent="0.25">
      <c r="A328" t="s">
        <v>356</v>
      </c>
    </row>
    <row r="329" spans="1:1" hidden="1" x14ac:dyDescent="0.25">
      <c r="A329" t="s">
        <v>138</v>
      </c>
    </row>
    <row r="330" spans="1:1" hidden="1" x14ac:dyDescent="0.25">
      <c r="A330" t="s">
        <v>94</v>
      </c>
    </row>
    <row r="331" spans="1:1" hidden="1" x14ac:dyDescent="0.25">
      <c r="A331" t="s">
        <v>356</v>
      </c>
    </row>
    <row r="332" spans="1:1" hidden="1" x14ac:dyDescent="0.25">
      <c r="A332" t="s">
        <v>138</v>
      </c>
    </row>
    <row r="333" spans="1:1" hidden="1" x14ac:dyDescent="0.25">
      <c r="A333" t="s">
        <v>94</v>
      </c>
    </row>
    <row r="334" spans="1:1" hidden="1" x14ac:dyDescent="0.25">
      <c r="A334" t="s">
        <v>356</v>
      </c>
    </row>
    <row r="335" spans="1:1" hidden="1" x14ac:dyDescent="0.25">
      <c r="A335" t="s">
        <v>94</v>
      </c>
    </row>
    <row r="336" spans="1:1" hidden="1" x14ac:dyDescent="0.25">
      <c r="A336" t="s">
        <v>356</v>
      </c>
    </row>
    <row r="337" spans="1:1" hidden="1" x14ac:dyDescent="0.25">
      <c r="A337" t="s">
        <v>94</v>
      </c>
    </row>
    <row r="338" spans="1:1" hidden="1" x14ac:dyDescent="0.25">
      <c r="A338" t="s">
        <v>356</v>
      </c>
    </row>
    <row r="339" spans="1:1" hidden="1" x14ac:dyDescent="0.25">
      <c r="A339" t="s">
        <v>240</v>
      </c>
    </row>
    <row r="340" spans="1:1" hidden="1" x14ac:dyDescent="0.25">
      <c r="A340" t="s">
        <v>241</v>
      </c>
    </row>
    <row r="341" spans="1:1" hidden="1" x14ac:dyDescent="0.25">
      <c r="A341" t="s">
        <v>242</v>
      </c>
    </row>
    <row r="342" spans="1:1" hidden="1" x14ac:dyDescent="0.25">
      <c r="A342" t="s">
        <v>243</v>
      </c>
    </row>
    <row r="343" spans="1:1" hidden="1" x14ac:dyDescent="0.25">
      <c r="A343">
        <v>800</v>
      </c>
    </row>
    <row r="344" spans="1:1" hidden="1" x14ac:dyDescent="0.25">
      <c r="A344" t="s">
        <v>244</v>
      </c>
    </row>
    <row r="345" spans="1:1" hidden="1" x14ac:dyDescent="0.25">
      <c r="A345" t="s">
        <v>423</v>
      </c>
    </row>
    <row r="346" spans="1:1" hidden="1" x14ac:dyDescent="0.25">
      <c r="A346" t="s">
        <v>245</v>
      </c>
    </row>
    <row r="347" spans="1:1" hidden="1" x14ac:dyDescent="0.25">
      <c r="A347" t="s">
        <v>142</v>
      </c>
    </row>
    <row r="348" spans="1:1" hidden="1" x14ac:dyDescent="0.25">
      <c r="A348" t="s">
        <v>246</v>
      </c>
    </row>
    <row r="349" spans="1:1" hidden="1" x14ac:dyDescent="0.25">
      <c r="A349" t="s">
        <v>247</v>
      </c>
    </row>
    <row r="350" spans="1:1" hidden="1" x14ac:dyDescent="0.25">
      <c r="A350" t="s">
        <v>248</v>
      </c>
    </row>
    <row r="351" spans="1:1" hidden="1" x14ac:dyDescent="0.25">
      <c r="A351" t="s">
        <v>249</v>
      </c>
    </row>
    <row r="352" spans="1:1" hidden="1" x14ac:dyDescent="0.25">
      <c r="A352" t="s">
        <v>250</v>
      </c>
    </row>
    <row r="353" spans="1:7" hidden="1" x14ac:dyDescent="0.25">
      <c r="A353" t="s">
        <v>251</v>
      </c>
    </row>
    <row r="354" spans="1:7" hidden="1" x14ac:dyDescent="0.25">
      <c r="A354" t="s">
        <v>252</v>
      </c>
    </row>
    <row r="355" spans="1:7" hidden="1" x14ac:dyDescent="0.25">
      <c r="A355" t="s">
        <v>142</v>
      </c>
      <c r="B355" t="s">
        <v>246</v>
      </c>
      <c r="C355" t="s">
        <v>247</v>
      </c>
      <c r="D355" t="s">
        <v>248</v>
      </c>
      <c r="E355" t="s">
        <v>253</v>
      </c>
    </row>
    <row r="356" spans="1:7" hidden="1" x14ac:dyDescent="0.25">
      <c r="E356" t="s">
        <v>249</v>
      </c>
      <c r="F356" t="s">
        <v>250</v>
      </c>
      <c r="G356" t="s">
        <v>251</v>
      </c>
    </row>
    <row r="357" spans="1:7" hidden="1" x14ac:dyDescent="0.25">
      <c r="A357" t="s">
        <v>254</v>
      </c>
    </row>
    <row r="358" spans="1:7" hidden="1" x14ac:dyDescent="0.25"/>
    <row r="359" spans="1:7" x14ac:dyDescent="0.25">
      <c r="A359" t="s">
        <v>424</v>
      </c>
    </row>
    <row r="361" spans="1:7" x14ac:dyDescent="0.25">
      <c r="A361" t="s">
        <v>255</v>
      </c>
    </row>
    <row r="363" spans="1:7" x14ac:dyDescent="0.25">
      <c r="A363" t="s">
        <v>256</v>
      </c>
    </row>
    <row r="365" spans="1:7" x14ac:dyDescent="0.25">
      <c r="A365" t="s">
        <v>257</v>
      </c>
      <c r="B365" t="s">
        <v>256</v>
      </c>
      <c r="C365" t="s">
        <v>258</v>
      </c>
    </row>
    <row r="366" spans="1:7" x14ac:dyDescent="0.25">
      <c r="A366">
        <v>0</v>
      </c>
      <c r="B366">
        <v>9</v>
      </c>
      <c r="C366" t="s">
        <v>264</v>
      </c>
    </row>
    <row r="367" spans="1:7" x14ac:dyDescent="0.25">
      <c r="A367">
        <v>1</v>
      </c>
      <c r="B367">
        <v>7</v>
      </c>
      <c r="C367" t="s">
        <v>262</v>
      </c>
    </row>
    <row r="368" spans="1:7" x14ac:dyDescent="0.25">
      <c r="A368">
        <v>2</v>
      </c>
      <c r="B368">
        <v>5</v>
      </c>
      <c r="C368" t="s">
        <v>261</v>
      </c>
    </row>
    <row r="369" spans="1:3" x14ac:dyDescent="0.25">
      <c r="A369">
        <v>3</v>
      </c>
      <c r="B369">
        <v>5</v>
      </c>
      <c r="C369" t="s">
        <v>261</v>
      </c>
    </row>
    <row r="370" spans="1:3" x14ac:dyDescent="0.25">
      <c r="A370">
        <v>4</v>
      </c>
      <c r="B370">
        <v>6</v>
      </c>
      <c r="C370" t="s">
        <v>263</v>
      </c>
    </row>
    <row r="371" spans="1:3" x14ac:dyDescent="0.25">
      <c r="A371">
        <v>5</v>
      </c>
      <c r="B371">
        <v>8</v>
      </c>
      <c r="C371" t="s">
        <v>259</v>
      </c>
    </row>
    <row r="372" spans="1:3" x14ac:dyDescent="0.25">
      <c r="A372">
        <v>6</v>
      </c>
      <c r="B372">
        <v>9</v>
      </c>
      <c r="C372" t="s">
        <v>264</v>
      </c>
    </row>
    <row r="373" spans="1:3" x14ac:dyDescent="0.25">
      <c r="A373">
        <v>7</v>
      </c>
      <c r="B373">
        <v>10</v>
      </c>
      <c r="C373" t="s">
        <v>265</v>
      </c>
    </row>
    <row r="374" spans="1:3" x14ac:dyDescent="0.25">
      <c r="A374">
        <v>8</v>
      </c>
      <c r="B374">
        <v>9</v>
      </c>
      <c r="C374" t="s">
        <v>264</v>
      </c>
    </row>
    <row r="375" spans="1:3" x14ac:dyDescent="0.25">
      <c r="A375">
        <v>9</v>
      </c>
      <c r="B375">
        <v>6</v>
      </c>
      <c r="C375" t="s">
        <v>263</v>
      </c>
    </row>
    <row r="376" spans="1:3" x14ac:dyDescent="0.25">
      <c r="A376">
        <v>10</v>
      </c>
      <c r="B376">
        <v>10</v>
      </c>
      <c r="C376" t="s">
        <v>265</v>
      </c>
    </row>
    <row r="377" spans="1:3" x14ac:dyDescent="0.25">
      <c r="A377">
        <v>11</v>
      </c>
      <c r="B377">
        <v>1</v>
      </c>
      <c r="C377" t="s">
        <v>433</v>
      </c>
    </row>
    <row r="378" spans="1:3" x14ac:dyDescent="0.25">
      <c r="A378">
        <v>12</v>
      </c>
      <c r="B378">
        <v>9</v>
      </c>
      <c r="C378" t="s">
        <v>264</v>
      </c>
    </row>
    <row r="379" spans="1:3" x14ac:dyDescent="0.25">
      <c r="A379">
        <v>13</v>
      </c>
      <c r="B379">
        <v>6</v>
      </c>
      <c r="C379" t="s">
        <v>263</v>
      </c>
    </row>
    <row r="380" spans="1:3" x14ac:dyDescent="0.25">
      <c r="A380">
        <v>14</v>
      </c>
      <c r="B380">
        <v>2</v>
      </c>
      <c r="C380" t="s">
        <v>266</v>
      </c>
    </row>
    <row r="381" spans="1:3" x14ac:dyDescent="0.25">
      <c r="A381">
        <v>15</v>
      </c>
      <c r="B381">
        <v>8</v>
      </c>
      <c r="C381" t="s">
        <v>259</v>
      </c>
    </row>
    <row r="382" spans="1:3" x14ac:dyDescent="0.25">
      <c r="A382">
        <v>16</v>
      </c>
      <c r="B382">
        <v>6</v>
      </c>
      <c r="C382" t="s">
        <v>263</v>
      </c>
    </row>
    <row r="383" spans="1:3" x14ac:dyDescent="0.25">
      <c r="A383">
        <v>17</v>
      </c>
      <c r="B383">
        <v>6</v>
      </c>
      <c r="C383" t="s">
        <v>263</v>
      </c>
    </row>
    <row r="384" spans="1:3" x14ac:dyDescent="0.25">
      <c r="A384">
        <v>18</v>
      </c>
      <c r="B384">
        <v>11</v>
      </c>
      <c r="C384" t="s">
        <v>434</v>
      </c>
    </row>
    <row r="385" spans="1:3" x14ac:dyDescent="0.25">
      <c r="A385">
        <v>19</v>
      </c>
      <c r="B385">
        <v>5</v>
      </c>
      <c r="C385" t="s">
        <v>261</v>
      </c>
    </row>
    <row r="386" spans="1:3" x14ac:dyDescent="0.25">
      <c r="A386">
        <v>20</v>
      </c>
      <c r="B386">
        <v>10</v>
      </c>
      <c r="C386" t="s">
        <v>265</v>
      </c>
    </row>
    <row r="387" spans="1:3" x14ac:dyDescent="0.25">
      <c r="A387">
        <v>21</v>
      </c>
      <c r="B387">
        <v>4</v>
      </c>
      <c r="C387" t="s">
        <v>260</v>
      </c>
    </row>
    <row r="388" spans="1:3" x14ac:dyDescent="0.25">
      <c r="A388">
        <v>22</v>
      </c>
      <c r="B388">
        <v>3</v>
      </c>
      <c r="C388" t="s">
        <v>267</v>
      </c>
    </row>
    <row r="389" spans="1:3" x14ac:dyDescent="0.25">
      <c r="A389">
        <v>23</v>
      </c>
      <c r="B389">
        <v>5</v>
      </c>
      <c r="C389" t="s">
        <v>261</v>
      </c>
    </row>
    <row r="390" spans="1:3" x14ac:dyDescent="0.25">
      <c r="A390" t="s">
        <v>257</v>
      </c>
      <c r="B390" t="s">
        <v>256</v>
      </c>
      <c r="C390" t="s">
        <v>258</v>
      </c>
    </row>
    <row r="391" spans="1:3" x14ac:dyDescent="0.25">
      <c r="A391">
        <v>24</v>
      </c>
      <c r="B391">
        <v>6</v>
      </c>
      <c r="C391" t="s">
        <v>263</v>
      </c>
    </row>
    <row r="392" spans="1:3" x14ac:dyDescent="0.25">
      <c r="A392">
        <v>25</v>
      </c>
      <c r="B392">
        <v>4</v>
      </c>
      <c r="C392" t="s">
        <v>260</v>
      </c>
    </row>
    <row r="393" spans="1:3" x14ac:dyDescent="0.25">
      <c r="A393">
        <v>26</v>
      </c>
      <c r="B393">
        <v>9</v>
      </c>
      <c r="C393" t="s">
        <v>264</v>
      </c>
    </row>
    <row r="394" spans="1:3" x14ac:dyDescent="0.25">
      <c r="A394">
        <v>27</v>
      </c>
      <c r="B394">
        <v>10</v>
      </c>
      <c r="C394" t="s">
        <v>265</v>
      </c>
    </row>
    <row r="395" spans="1:3" x14ac:dyDescent="0.25">
      <c r="A395">
        <v>28</v>
      </c>
      <c r="B395">
        <v>7</v>
      </c>
      <c r="C395" t="s">
        <v>262</v>
      </c>
    </row>
    <row r="396" spans="1:3" x14ac:dyDescent="0.25">
      <c r="A396">
        <v>29</v>
      </c>
      <c r="B396">
        <v>4</v>
      </c>
      <c r="C396" t="s">
        <v>260</v>
      </c>
    </row>
    <row r="397" spans="1:3" x14ac:dyDescent="0.25">
      <c r="A397">
        <v>30</v>
      </c>
      <c r="B397">
        <v>9</v>
      </c>
      <c r="C397" t="s">
        <v>264</v>
      </c>
    </row>
    <row r="398" spans="1:3" x14ac:dyDescent="0.25">
      <c r="A398">
        <v>31</v>
      </c>
      <c r="B398">
        <v>5</v>
      </c>
      <c r="C398" t="s">
        <v>261</v>
      </c>
    </row>
    <row r="399" spans="1:3" x14ac:dyDescent="0.25">
      <c r="A399">
        <v>32</v>
      </c>
      <c r="B399">
        <v>8</v>
      </c>
      <c r="C399" t="s">
        <v>259</v>
      </c>
    </row>
    <row r="400" spans="1:3" x14ac:dyDescent="0.25">
      <c r="A400">
        <v>33</v>
      </c>
      <c r="B400">
        <v>7</v>
      </c>
      <c r="C400" t="s">
        <v>262</v>
      </c>
    </row>
    <row r="401" spans="1:3" x14ac:dyDescent="0.25">
      <c r="A401">
        <v>34</v>
      </c>
      <c r="B401">
        <v>6</v>
      </c>
      <c r="C401" t="s">
        <v>263</v>
      </c>
    </row>
    <row r="402" spans="1:3" x14ac:dyDescent="0.25">
      <c r="A402">
        <v>35</v>
      </c>
      <c r="B402">
        <v>3</v>
      </c>
      <c r="C402" t="s">
        <v>267</v>
      </c>
    </row>
    <row r="403" spans="1:3" x14ac:dyDescent="0.25">
      <c r="A403">
        <v>36</v>
      </c>
      <c r="B403">
        <v>4</v>
      </c>
      <c r="C403" t="s">
        <v>260</v>
      </c>
    </row>
    <row r="404" spans="1:3" x14ac:dyDescent="0.25">
      <c r="A404">
        <v>37</v>
      </c>
      <c r="B404">
        <v>9</v>
      </c>
      <c r="C404" t="s">
        <v>264</v>
      </c>
    </row>
    <row r="405" spans="1:3" x14ac:dyDescent="0.25">
      <c r="A405">
        <v>38</v>
      </c>
      <c r="B405">
        <v>5</v>
      </c>
      <c r="C405" t="s">
        <v>261</v>
      </c>
    </row>
    <row r="406" spans="1:3" x14ac:dyDescent="0.25">
      <c r="A406">
        <v>39</v>
      </c>
      <c r="B406">
        <v>3</v>
      </c>
      <c r="C406" t="s">
        <v>267</v>
      </c>
    </row>
    <row r="407" spans="1:3" x14ac:dyDescent="0.25">
      <c r="A407">
        <v>40</v>
      </c>
      <c r="B407">
        <v>7</v>
      </c>
      <c r="C407" t="s">
        <v>262</v>
      </c>
    </row>
    <row r="408" spans="1:3" x14ac:dyDescent="0.25">
      <c r="A408">
        <v>41</v>
      </c>
      <c r="B408">
        <v>7</v>
      </c>
      <c r="C408" t="s">
        <v>262</v>
      </c>
    </row>
    <row r="409" spans="1:3" x14ac:dyDescent="0.25">
      <c r="A409">
        <v>42</v>
      </c>
      <c r="B409">
        <v>7</v>
      </c>
      <c r="C409" t="s">
        <v>262</v>
      </c>
    </row>
    <row r="410" spans="1:3" x14ac:dyDescent="0.25">
      <c r="A410">
        <v>43</v>
      </c>
      <c r="B410">
        <v>6</v>
      </c>
      <c r="C410" t="s">
        <v>263</v>
      </c>
    </row>
    <row r="411" spans="1:3" x14ac:dyDescent="0.25">
      <c r="A411">
        <v>44</v>
      </c>
      <c r="B411">
        <v>8</v>
      </c>
      <c r="C411" t="s">
        <v>259</v>
      </c>
    </row>
    <row r="412" spans="1:3" x14ac:dyDescent="0.25">
      <c r="A412">
        <v>45</v>
      </c>
      <c r="B412">
        <v>6</v>
      </c>
      <c r="C412" t="s">
        <v>263</v>
      </c>
    </row>
    <row r="414" spans="1:3" x14ac:dyDescent="0.25">
      <c r="A414" t="s">
        <v>268</v>
      </c>
    </row>
    <row r="416" spans="1:3" x14ac:dyDescent="0.25">
      <c r="B416" t="s">
        <v>256</v>
      </c>
      <c r="C416" t="s">
        <v>258</v>
      </c>
    </row>
    <row r="417" spans="1:3" x14ac:dyDescent="0.25">
      <c r="A417" t="s">
        <v>269</v>
      </c>
      <c r="B417">
        <v>155</v>
      </c>
      <c r="C417" t="s">
        <v>435</v>
      </c>
    </row>
    <row r="418" spans="1:3" x14ac:dyDescent="0.25">
      <c r="A418" t="s">
        <v>270</v>
      </c>
      <c r="B418">
        <v>145</v>
      </c>
      <c r="C418" t="s">
        <v>436</v>
      </c>
    </row>
    <row r="420" spans="1:3" x14ac:dyDescent="0.25">
      <c r="A420" t="s">
        <v>271</v>
      </c>
    </row>
    <row r="422" spans="1:3" x14ac:dyDescent="0.25">
      <c r="B422" t="s">
        <v>256</v>
      </c>
      <c r="C422" t="s">
        <v>258</v>
      </c>
    </row>
    <row r="423" spans="1:3" x14ac:dyDescent="0.25">
      <c r="A423" s="1" t="s">
        <v>272</v>
      </c>
      <c r="B423">
        <v>165</v>
      </c>
      <c r="C423" t="s">
        <v>437</v>
      </c>
    </row>
    <row r="424" spans="1:3" x14ac:dyDescent="0.25">
      <c r="A424" t="s">
        <v>273</v>
      </c>
      <c r="B424">
        <v>135</v>
      </c>
      <c r="C424" t="s">
        <v>438</v>
      </c>
    </row>
    <row r="426" spans="1:3" x14ac:dyDescent="0.25">
      <c r="A426" t="s">
        <v>274</v>
      </c>
    </row>
    <row r="427" spans="1:3" x14ac:dyDescent="0.25">
      <c r="A427" s="2"/>
    </row>
    <row r="428" spans="1:3" x14ac:dyDescent="0.25">
      <c r="A428" s="3" t="s">
        <v>275</v>
      </c>
      <c r="B428" t="s">
        <v>256</v>
      </c>
      <c r="C428" t="s">
        <v>258</v>
      </c>
    </row>
    <row r="429" spans="1:3" x14ac:dyDescent="0.25">
      <c r="A429" s="2" t="s">
        <v>276</v>
      </c>
      <c r="B429">
        <v>84</v>
      </c>
      <c r="C429" t="s">
        <v>439</v>
      </c>
    </row>
    <row r="430" spans="1:3" x14ac:dyDescent="0.25">
      <c r="A430" s="1">
        <v>44105</v>
      </c>
      <c r="B430">
        <v>54</v>
      </c>
      <c r="C430" t="s">
        <v>440</v>
      </c>
    </row>
    <row r="431" spans="1:3" x14ac:dyDescent="0.25">
      <c r="A431" s="2" t="s">
        <v>277</v>
      </c>
      <c r="B431">
        <v>62</v>
      </c>
      <c r="C431" t="s">
        <v>328</v>
      </c>
    </row>
    <row r="432" spans="1:3" x14ac:dyDescent="0.25">
      <c r="A432" s="1" t="s">
        <v>278</v>
      </c>
      <c r="B432">
        <v>59</v>
      </c>
      <c r="C432" t="s">
        <v>441</v>
      </c>
    </row>
    <row r="433" spans="1:3" x14ac:dyDescent="0.25">
      <c r="A433" t="s">
        <v>279</v>
      </c>
      <c r="B433">
        <v>41</v>
      </c>
      <c r="C433" t="s">
        <v>442</v>
      </c>
    </row>
    <row r="435" spans="1:3" x14ac:dyDescent="0.25">
      <c r="A435" t="s">
        <v>280</v>
      </c>
    </row>
    <row r="437" spans="1:3" x14ac:dyDescent="0.25">
      <c r="A437" t="s">
        <v>257</v>
      </c>
      <c r="B437" t="s">
        <v>281</v>
      </c>
      <c r="C437" t="s">
        <v>258</v>
      </c>
    </row>
    <row r="438" spans="1:3" x14ac:dyDescent="0.25">
      <c r="A438">
        <v>0</v>
      </c>
      <c r="B438">
        <v>41</v>
      </c>
      <c r="C438" t="s">
        <v>287</v>
      </c>
    </row>
    <row r="439" spans="1:3" x14ac:dyDescent="0.25">
      <c r="A439">
        <v>1</v>
      </c>
      <c r="B439">
        <v>43</v>
      </c>
      <c r="C439" t="s">
        <v>285</v>
      </c>
    </row>
    <row r="440" spans="1:3" x14ac:dyDescent="0.25">
      <c r="A440">
        <v>2</v>
      </c>
      <c r="B440">
        <v>45</v>
      </c>
      <c r="C440" t="s">
        <v>284</v>
      </c>
    </row>
    <row r="441" spans="1:3" x14ac:dyDescent="0.25">
      <c r="A441">
        <v>3</v>
      </c>
      <c r="B441">
        <v>45</v>
      </c>
      <c r="C441" t="s">
        <v>284</v>
      </c>
    </row>
    <row r="442" spans="1:3" x14ac:dyDescent="0.25">
      <c r="A442">
        <v>4</v>
      </c>
      <c r="B442">
        <v>44</v>
      </c>
      <c r="C442" t="s">
        <v>286</v>
      </c>
    </row>
    <row r="443" spans="1:3" x14ac:dyDescent="0.25">
      <c r="A443">
        <v>5</v>
      </c>
      <c r="B443">
        <v>42</v>
      </c>
      <c r="C443" t="s">
        <v>282</v>
      </c>
    </row>
    <row r="444" spans="1:3" x14ac:dyDescent="0.25">
      <c r="A444">
        <v>6</v>
      </c>
      <c r="B444">
        <v>41</v>
      </c>
      <c r="C444" t="s">
        <v>287</v>
      </c>
    </row>
    <row r="445" spans="1:3" x14ac:dyDescent="0.25">
      <c r="A445">
        <v>7</v>
      </c>
      <c r="B445">
        <v>40</v>
      </c>
      <c r="C445" t="s">
        <v>263</v>
      </c>
    </row>
    <row r="446" spans="1:3" x14ac:dyDescent="0.25">
      <c r="A446">
        <v>8</v>
      </c>
      <c r="B446">
        <v>41</v>
      </c>
      <c r="C446" t="s">
        <v>287</v>
      </c>
    </row>
    <row r="447" spans="1:3" x14ac:dyDescent="0.25">
      <c r="A447">
        <v>9</v>
      </c>
      <c r="B447">
        <v>44</v>
      </c>
      <c r="C447" t="s">
        <v>286</v>
      </c>
    </row>
    <row r="448" spans="1:3" x14ac:dyDescent="0.25">
      <c r="A448">
        <v>10</v>
      </c>
      <c r="B448">
        <v>40</v>
      </c>
      <c r="C448" t="s">
        <v>263</v>
      </c>
    </row>
    <row r="449" spans="1:3" x14ac:dyDescent="0.25">
      <c r="A449">
        <v>11</v>
      </c>
      <c r="B449">
        <v>49</v>
      </c>
      <c r="C449" t="s">
        <v>443</v>
      </c>
    </row>
    <row r="450" spans="1:3" x14ac:dyDescent="0.25">
      <c r="A450">
        <v>12</v>
      </c>
      <c r="B450">
        <v>41</v>
      </c>
      <c r="C450" t="s">
        <v>287</v>
      </c>
    </row>
    <row r="451" spans="1:3" x14ac:dyDescent="0.25">
      <c r="A451">
        <v>13</v>
      </c>
      <c r="B451">
        <v>44</v>
      </c>
      <c r="C451" t="s">
        <v>286</v>
      </c>
    </row>
    <row r="452" spans="1:3" x14ac:dyDescent="0.25">
      <c r="A452">
        <v>14</v>
      </c>
      <c r="B452">
        <v>48</v>
      </c>
      <c r="C452" t="s">
        <v>288</v>
      </c>
    </row>
    <row r="453" spans="1:3" x14ac:dyDescent="0.25">
      <c r="A453">
        <v>15</v>
      </c>
      <c r="B453">
        <v>42</v>
      </c>
      <c r="C453" t="s">
        <v>282</v>
      </c>
    </row>
    <row r="454" spans="1:3" x14ac:dyDescent="0.25">
      <c r="A454">
        <v>16</v>
      </c>
      <c r="B454">
        <v>44</v>
      </c>
      <c r="C454" t="s">
        <v>286</v>
      </c>
    </row>
    <row r="455" spans="1:3" x14ac:dyDescent="0.25">
      <c r="A455">
        <v>17</v>
      </c>
      <c r="B455">
        <v>44</v>
      </c>
      <c r="C455" t="s">
        <v>286</v>
      </c>
    </row>
    <row r="456" spans="1:3" x14ac:dyDescent="0.25">
      <c r="A456">
        <v>18</v>
      </c>
      <c r="B456">
        <v>39</v>
      </c>
      <c r="C456" t="s">
        <v>444</v>
      </c>
    </row>
    <row r="457" spans="1:3" x14ac:dyDescent="0.25">
      <c r="A457">
        <v>19</v>
      </c>
      <c r="B457">
        <v>45</v>
      </c>
      <c r="C457" t="s">
        <v>284</v>
      </c>
    </row>
    <row r="458" spans="1:3" x14ac:dyDescent="0.25">
      <c r="A458">
        <v>20</v>
      </c>
      <c r="B458">
        <v>40</v>
      </c>
      <c r="C458" t="s">
        <v>263</v>
      </c>
    </row>
    <row r="459" spans="1:3" x14ac:dyDescent="0.25">
      <c r="A459">
        <v>21</v>
      </c>
      <c r="B459">
        <v>46</v>
      </c>
      <c r="C459" t="s">
        <v>283</v>
      </c>
    </row>
    <row r="460" spans="1:3" x14ac:dyDescent="0.25">
      <c r="A460">
        <v>22</v>
      </c>
      <c r="B460">
        <v>47</v>
      </c>
      <c r="C460" t="s">
        <v>289</v>
      </c>
    </row>
    <row r="461" spans="1:3" x14ac:dyDescent="0.25">
      <c r="A461">
        <v>23</v>
      </c>
      <c r="B461">
        <v>45</v>
      </c>
      <c r="C461" t="s">
        <v>284</v>
      </c>
    </row>
    <row r="462" spans="1:3" x14ac:dyDescent="0.25">
      <c r="A462" t="s">
        <v>257</v>
      </c>
      <c r="B462" t="s">
        <v>281</v>
      </c>
      <c r="C462" t="s">
        <v>258</v>
      </c>
    </row>
    <row r="463" spans="1:3" x14ac:dyDescent="0.25">
      <c r="A463">
        <v>24</v>
      </c>
      <c r="B463">
        <v>44</v>
      </c>
      <c r="C463" t="s">
        <v>286</v>
      </c>
    </row>
    <row r="464" spans="1:3" x14ac:dyDescent="0.25">
      <c r="A464">
        <v>25</v>
      </c>
      <c r="B464">
        <v>46</v>
      </c>
      <c r="C464" t="s">
        <v>283</v>
      </c>
    </row>
    <row r="465" spans="1:3" x14ac:dyDescent="0.25">
      <c r="A465">
        <v>26</v>
      </c>
      <c r="B465">
        <v>41</v>
      </c>
      <c r="C465" t="s">
        <v>287</v>
      </c>
    </row>
    <row r="466" spans="1:3" x14ac:dyDescent="0.25">
      <c r="A466">
        <v>27</v>
      </c>
      <c r="B466">
        <v>40</v>
      </c>
      <c r="C466" t="s">
        <v>263</v>
      </c>
    </row>
    <row r="467" spans="1:3" x14ac:dyDescent="0.25">
      <c r="A467">
        <v>28</v>
      </c>
      <c r="B467">
        <v>43</v>
      </c>
      <c r="C467" t="s">
        <v>285</v>
      </c>
    </row>
    <row r="468" spans="1:3" x14ac:dyDescent="0.25">
      <c r="A468">
        <v>29</v>
      </c>
      <c r="B468">
        <v>46</v>
      </c>
      <c r="C468" t="s">
        <v>283</v>
      </c>
    </row>
    <row r="469" spans="1:3" x14ac:dyDescent="0.25">
      <c r="A469">
        <v>30</v>
      </c>
      <c r="B469">
        <v>41</v>
      </c>
      <c r="C469" t="s">
        <v>287</v>
      </c>
    </row>
    <row r="470" spans="1:3" x14ac:dyDescent="0.25">
      <c r="A470">
        <v>31</v>
      </c>
      <c r="B470">
        <v>45</v>
      </c>
      <c r="C470" t="s">
        <v>284</v>
      </c>
    </row>
    <row r="471" spans="1:3" x14ac:dyDescent="0.25">
      <c r="A471">
        <v>32</v>
      </c>
      <c r="B471">
        <v>42</v>
      </c>
      <c r="C471" t="s">
        <v>282</v>
      </c>
    </row>
    <row r="472" spans="1:3" x14ac:dyDescent="0.25">
      <c r="A472">
        <v>33</v>
      </c>
      <c r="B472">
        <v>43</v>
      </c>
      <c r="C472" t="s">
        <v>285</v>
      </c>
    </row>
    <row r="473" spans="1:3" x14ac:dyDescent="0.25">
      <c r="A473">
        <v>34</v>
      </c>
      <c r="B473">
        <v>44</v>
      </c>
      <c r="C473" t="s">
        <v>286</v>
      </c>
    </row>
    <row r="474" spans="1:3" x14ac:dyDescent="0.25">
      <c r="A474">
        <v>35</v>
      </c>
      <c r="B474">
        <v>47</v>
      </c>
      <c r="C474" t="s">
        <v>289</v>
      </c>
    </row>
    <row r="475" spans="1:3" x14ac:dyDescent="0.25">
      <c r="A475">
        <v>36</v>
      </c>
      <c r="B475">
        <v>46</v>
      </c>
      <c r="C475" t="s">
        <v>283</v>
      </c>
    </row>
    <row r="476" spans="1:3" x14ac:dyDescent="0.25">
      <c r="A476">
        <v>37</v>
      </c>
      <c r="B476">
        <v>41</v>
      </c>
      <c r="C476" t="s">
        <v>287</v>
      </c>
    </row>
    <row r="477" spans="1:3" x14ac:dyDescent="0.25">
      <c r="A477">
        <v>38</v>
      </c>
      <c r="B477">
        <v>45</v>
      </c>
      <c r="C477" t="s">
        <v>284</v>
      </c>
    </row>
    <row r="478" spans="1:3" x14ac:dyDescent="0.25">
      <c r="A478">
        <v>39</v>
      </c>
      <c r="B478">
        <v>47</v>
      </c>
      <c r="C478" t="s">
        <v>289</v>
      </c>
    </row>
    <row r="479" spans="1:3" x14ac:dyDescent="0.25">
      <c r="A479">
        <v>40</v>
      </c>
      <c r="B479">
        <v>43</v>
      </c>
      <c r="C479" t="s">
        <v>285</v>
      </c>
    </row>
    <row r="480" spans="1:3" x14ac:dyDescent="0.25">
      <c r="A480">
        <v>41</v>
      </c>
      <c r="B480">
        <v>43</v>
      </c>
      <c r="C480" t="s">
        <v>285</v>
      </c>
    </row>
    <row r="481" spans="1:3" x14ac:dyDescent="0.25">
      <c r="A481">
        <v>42</v>
      </c>
      <c r="B481">
        <v>43</v>
      </c>
      <c r="C481" t="s">
        <v>285</v>
      </c>
    </row>
    <row r="482" spans="1:3" x14ac:dyDescent="0.25">
      <c r="A482">
        <v>43</v>
      </c>
      <c r="B482">
        <v>44</v>
      </c>
      <c r="C482" t="s">
        <v>286</v>
      </c>
    </row>
    <row r="483" spans="1:3" hidden="1" x14ac:dyDescent="0.25">
      <c r="A483">
        <v>44</v>
      </c>
      <c r="B483">
        <v>42</v>
      </c>
      <c r="C483" t="s">
        <v>282</v>
      </c>
    </row>
    <row r="484" spans="1:3" hidden="1" x14ac:dyDescent="0.25">
      <c r="A484">
        <v>45</v>
      </c>
      <c r="B484">
        <v>44</v>
      </c>
      <c r="C484" t="s">
        <v>286</v>
      </c>
    </row>
    <row r="485" spans="1:3" hidden="1" x14ac:dyDescent="0.25">
      <c r="A485" t="s">
        <v>290</v>
      </c>
    </row>
    <row r="486" spans="1:3" hidden="1" x14ac:dyDescent="0.25">
      <c r="A486" t="s">
        <v>291</v>
      </c>
    </row>
    <row r="487" spans="1:3" hidden="1" x14ac:dyDescent="0.25">
      <c r="A487" t="s">
        <v>292</v>
      </c>
    </row>
    <row r="488" spans="1:3" hidden="1" x14ac:dyDescent="0.25">
      <c r="A488" t="s">
        <v>251</v>
      </c>
    </row>
    <row r="489" spans="1:3" hidden="1" x14ac:dyDescent="0.25">
      <c r="A489" t="s">
        <v>293</v>
      </c>
    </row>
    <row r="490" spans="1:3" hidden="1" x14ac:dyDescent="0.25">
      <c r="A490" t="s">
        <v>294</v>
      </c>
    </row>
    <row r="491" spans="1:3" hidden="1" x14ac:dyDescent="0.25">
      <c r="A491" t="s">
        <v>295</v>
      </c>
    </row>
    <row r="492" spans="1:3" hidden="1" x14ac:dyDescent="0.25">
      <c r="A492" t="s">
        <v>296</v>
      </c>
    </row>
    <row r="493" spans="1:3" hidden="1" x14ac:dyDescent="0.25">
      <c r="A493" t="s">
        <v>297</v>
      </c>
    </row>
    <row r="494" spans="1:3" hidden="1" x14ac:dyDescent="0.25">
      <c r="A494" t="s">
        <v>298</v>
      </c>
    </row>
    <row r="495" spans="1:3" hidden="1" x14ac:dyDescent="0.25"/>
    <row r="496" spans="1:3" hidden="1" x14ac:dyDescent="0.25"/>
    <row r="497" spans="1:1" hidden="1" x14ac:dyDescent="0.25">
      <c r="A497" t="s">
        <v>299</v>
      </c>
    </row>
    <row r="498" spans="1:1" hidden="1" x14ac:dyDescent="0.25">
      <c r="A498" t="s">
        <v>300</v>
      </c>
    </row>
    <row r="499" spans="1:1" hidden="1" x14ac:dyDescent="0.25">
      <c r="A499" t="s">
        <v>301</v>
      </c>
    </row>
    <row r="500" spans="1:1" hidden="1" x14ac:dyDescent="0.25">
      <c r="A500" t="s">
        <v>302</v>
      </c>
    </row>
    <row r="501" spans="1:1" hidden="1" x14ac:dyDescent="0.25"/>
    <row r="502" spans="1:1" hidden="1" x14ac:dyDescent="0.25"/>
    <row r="503" spans="1:1" hidden="1" x14ac:dyDescent="0.25">
      <c r="A503" t="s">
        <v>303</v>
      </c>
    </row>
    <row r="504" spans="1:1" hidden="1" x14ac:dyDescent="0.25">
      <c r="A504" t="s">
        <v>304</v>
      </c>
    </row>
    <row r="505" spans="1:1" hidden="1" x14ac:dyDescent="0.25">
      <c r="A505" t="s">
        <v>445</v>
      </c>
    </row>
    <row r="506" spans="1:1" hidden="1" x14ac:dyDescent="0.25">
      <c r="A506" t="s">
        <v>305</v>
      </c>
    </row>
    <row r="507" spans="1:1" hidden="1" x14ac:dyDescent="0.25">
      <c r="A507" t="s">
        <v>306</v>
      </c>
    </row>
    <row r="508" spans="1:1" hidden="1" x14ac:dyDescent="0.25">
      <c r="A508" t="s">
        <v>307</v>
      </c>
    </row>
    <row r="509" spans="1:1" x14ac:dyDescent="0.25">
      <c r="A509" t="s">
        <v>308</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4"/>
  <sheetViews>
    <sheetView tabSelected="1" topLeftCell="A359" workbookViewId="0">
      <selection activeCell="M368" sqref="M368"/>
    </sheetView>
  </sheetViews>
  <sheetFormatPr baseColWidth="10" defaultRowHeight="15" x14ac:dyDescent="0.25"/>
  <cols>
    <col min="1" max="1" width="8.28515625" customWidth="1"/>
    <col min="3" max="3" width="13.28515625" bestFit="1" customWidth="1"/>
    <col min="4" max="4" width="5.5703125" customWidth="1"/>
    <col min="5" max="5" width="10.7109375" customWidth="1"/>
    <col min="6" max="6" width="11" customWidth="1"/>
    <col min="7" max="7" width="8.140625" customWidth="1"/>
  </cols>
  <sheetData>
    <row r="1" spans="1:1" hidden="1" x14ac:dyDescent="0.25">
      <c r="A1" t="s">
        <v>32</v>
      </c>
    </row>
    <row r="2" spans="1:1" hidden="1" x14ac:dyDescent="0.25">
      <c r="A2" t="s">
        <v>33</v>
      </c>
    </row>
    <row r="3" spans="1:1" hidden="1" x14ac:dyDescent="0.25">
      <c r="A3" t="s">
        <v>34</v>
      </c>
    </row>
    <row r="4" spans="1:1" hidden="1" x14ac:dyDescent="0.25">
      <c r="A4" t="s">
        <v>35</v>
      </c>
    </row>
    <row r="5" spans="1:1" hidden="1" x14ac:dyDescent="0.25">
      <c r="A5" t="s">
        <v>36</v>
      </c>
    </row>
    <row r="6" spans="1:1" hidden="1" x14ac:dyDescent="0.25">
      <c r="A6" t="s">
        <v>37</v>
      </c>
    </row>
    <row r="7" spans="1:1" hidden="1" x14ac:dyDescent="0.25">
      <c r="A7" t="s">
        <v>38</v>
      </c>
    </row>
    <row r="8" spans="1:1" hidden="1" x14ac:dyDescent="0.25">
      <c r="A8" t="s">
        <v>39</v>
      </c>
    </row>
    <row r="9" spans="1:1" hidden="1" x14ac:dyDescent="0.25">
      <c r="A9" t="s">
        <v>40</v>
      </c>
    </row>
    <row r="10" spans="1:1" hidden="1" x14ac:dyDescent="0.25">
      <c r="A10" t="s">
        <v>41</v>
      </c>
    </row>
    <row r="11" spans="1:1" hidden="1" x14ac:dyDescent="0.25">
      <c r="A11" t="s">
        <v>42</v>
      </c>
    </row>
    <row r="12" spans="1:1" hidden="1" x14ac:dyDescent="0.25">
      <c r="A12" t="s">
        <v>43</v>
      </c>
    </row>
    <row r="13" spans="1:1" hidden="1" x14ac:dyDescent="0.25">
      <c r="A13" t="s">
        <v>44</v>
      </c>
    </row>
    <row r="14" spans="1:1" hidden="1" x14ac:dyDescent="0.25">
      <c r="A14" t="s">
        <v>45</v>
      </c>
    </row>
    <row r="15" spans="1:1" hidden="1" x14ac:dyDescent="0.25">
      <c r="A15" t="s">
        <v>46</v>
      </c>
    </row>
    <row r="16" spans="1:1" hidden="1" x14ac:dyDescent="0.25">
      <c r="A16" t="s">
        <v>47</v>
      </c>
    </row>
    <row r="17" spans="1:1" hidden="1" x14ac:dyDescent="0.25">
      <c r="A17" t="s">
        <v>48</v>
      </c>
    </row>
    <row r="18" spans="1:1" hidden="1" x14ac:dyDescent="0.25">
      <c r="A18" t="s">
        <v>49</v>
      </c>
    </row>
    <row r="19" spans="1:1" hidden="1" x14ac:dyDescent="0.25">
      <c r="A19" t="s">
        <v>50</v>
      </c>
    </row>
    <row r="20" spans="1:1" hidden="1" x14ac:dyDescent="0.25">
      <c r="A20" t="s">
        <v>51</v>
      </c>
    </row>
    <row r="21" spans="1:1" hidden="1" x14ac:dyDescent="0.25">
      <c r="A21" t="s">
        <v>52</v>
      </c>
    </row>
    <row r="22" spans="1:1" hidden="1" x14ac:dyDescent="0.25">
      <c r="A22" t="s">
        <v>53</v>
      </c>
    </row>
    <row r="23" spans="1:1" hidden="1" x14ac:dyDescent="0.25">
      <c r="A23" t="s">
        <v>54</v>
      </c>
    </row>
    <row r="24" spans="1:1" hidden="1" x14ac:dyDescent="0.25">
      <c r="A24" t="s">
        <v>55</v>
      </c>
    </row>
    <row r="25" spans="1:1" hidden="1" x14ac:dyDescent="0.25">
      <c r="A25" t="s">
        <v>56</v>
      </c>
    </row>
    <row r="26" spans="1:1" hidden="1" x14ac:dyDescent="0.25">
      <c r="A26" t="s">
        <v>57</v>
      </c>
    </row>
    <row r="27" spans="1:1" hidden="1" x14ac:dyDescent="0.25">
      <c r="A27" t="s">
        <v>58</v>
      </c>
    </row>
    <row r="28" spans="1:1" hidden="1" x14ac:dyDescent="0.25">
      <c r="A28" t="s">
        <v>59</v>
      </c>
    </row>
    <row r="29" spans="1:1" hidden="1" x14ac:dyDescent="0.25">
      <c r="A29" t="s">
        <v>60</v>
      </c>
    </row>
    <row r="30" spans="1:1" hidden="1" x14ac:dyDescent="0.25">
      <c r="A30" t="s">
        <v>61</v>
      </c>
    </row>
    <row r="31" spans="1:1" hidden="1" x14ac:dyDescent="0.25">
      <c r="A31" t="s">
        <v>62</v>
      </c>
    </row>
    <row r="32" spans="1:1" hidden="1" x14ac:dyDescent="0.25">
      <c r="A32" t="s">
        <v>63</v>
      </c>
    </row>
    <row r="33" spans="1:1" hidden="1" x14ac:dyDescent="0.25">
      <c r="A33" t="s">
        <v>64</v>
      </c>
    </row>
    <row r="34" spans="1:1" hidden="1" x14ac:dyDescent="0.25">
      <c r="A34" t="s">
        <v>65</v>
      </c>
    </row>
    <row r="35" spans="1:1" hidden="1" x14ac:dyDescent="0.25">
      <c r="A35" t="s">
        <v>66</v>
      </c>
    </row>
    <row r="36" spans="1:1" hidden="1" x14ac:dyDescent="0.25">
      <c r="A36" t="s">
        <v>67</v>
      </c>
    </row>
    <row r="37" spans="1:1" hidden="1" x14ac:dyDescent="0.25">
      <c r="A37" t="s">
        <v>68</v>
      </c>
    </row>
    <row r="38" spans="1:1" hidden="1" x14ac:dyDescent="0.25">
      <c r="A38" t="s">
        <v>69</v>
      </c>
    </row>
    <row r="39" spans="1:1" hidden="1" x14ac:dyDescent="0.25">
      <c r="A39" t="s">
        <v>70</v>
      </c>
    </row>
    <row r="40" spans="1:1" hidden="1" x14ac:dyDescent="0.25">
      <c r="A40" t="s">
        <v>71</v>
      </c>
    </row>
    <row r="41" spans="1:1" hidden="1" x14ac:dyDescent="0.25">
      <c r="A41" t="s">
        <v>72</v>
      </c>
    </row>
    <row r="42" spans="1:1" hidden="1" x14ac:dyDescent="0.25">
      <c r="A42" t="s">
        <v>73</v>
      </c>
    </row>
    <row r="43" spans="1:1" hidden="1" x14ac:dyDescent="0.25">
      <c r="A43" t="s">
        <v>74</v>
      </c>
    </row>
    <row r="44" spans="1:1" hidden="1" x14ac:dyDescent="0.25">
      <c r="A44" t="s">
        <v>75</v>
      </c>
    </row>
    <row r="45" spans="1:1" hidden="1" x14ac:dyDescent="0.25">
      <c r="A45" t="s">
        <v>76</v>
      </c>
    </row>
    <row r="46" spans="1:1" hidden="1" x14ac:dyDescent="0.25">
      <c r="A46" t="s">
        <v>77</v>
      </c>
    </row>
    <row r="47" spans="1:1" hidden="1" x14ac:dyDescent="0.25">
      <c r="A47" t="s">
        <v>78</v>
      </c>
    </row>
    <row r="48" spans="1:1" hidden="1" x14ac:dyDescent="0.25">
      <c r="A48" t="s">
        <v>79</v>
      </c>
    </row>
    <row r="49" spans="1:1" hidden="1" x14ac:dyDescent="0.25">
      <c r="A49" t="s">
        <v>80</v>
      </c>
    </row>
    <row r="50" spans="1:1" hidden="1" x14ac:dyDescent="0.25">
      <c r="A50" t="s">
        <v>81</v>
      </c>
    </row>
    <row r="51" spans="1:1" hidden="1" x14ac:dyDescent="0.25">
      <c r="A51" t="s">
        <v>448</v>
      </c>
    </row>
    <row r="52" spans="1:1" hidden="1" x14ac:dyDescent="0.25">
      <c r="A52" t="s">
        <v>82</v>
      </c>
    </row>
    <row r="53" spans="1:1" hidden="1" x14ac:dyDescent="0.25">
      <c r="A53" t="s">
        <v>449</v>
      </c>
    </row>
    <row r="54" spans="1:1" hidden="1" x14ac:dyDescent="0.25">
      <c r="A54" t="s">
        <v>83</v>
      </c>
    </row>
    <row r="55" spans="1:1" hidden="1" x14ac:dyDescent="0.25">
      <c r="A55" t="s">
        <v>450</v>
      </c>
    </row>
    <row r="56" spans="1:1" hidden="1" x14ac:dyDescent="0.25">
      <c r="A56" t="s">
        <v>84</v>
      </c>
    </row>
    <row r="57" spans="1:1" hidden="1" x14ac:dyDescent="0.25">
      <c r="A57" t="s">
        <v>354</v>
      </c>
    </row>
    <row r="58" spans="1:1" hidden="1" x14ac:dyDescent="0.25">
      <c r="A58" t="s">
        <v>85</v>
      </c>
    </row>
    <row r="59" spans="1:1" hidden="1" x14ac:dyDescent="0.25">
      <c r="A59" t="s">
        <v>86</v>
      </c>
    </row>
    <row r="60" spans="1:1" hidden="1" x14ac:dyDescent="0.25">
      <c r="A60" t="s">
        <v>87</v>
      </c>
    </row>
    <row r="61" spans="1:1" hidden="1" x14ac:dyDescent="0.25">
      <c r="A61" t="s">
        <v>88</v>
      </c>
    </row>
    <row r="62" spans="1:1" hidden="1" x14ac:dyDescent="0.25">
      <c r="A62" t="s">
        <v>89</v>
      </c>
    </row>
    <row r="63" spans="1:1" hidden="1" x14ac:dyDescent="0.25">
      <c r="A63" t="s">
        <v>451</v>
      </c>
    </row>
    <row r="64" spans="1:1" hidden="1" x14ac:dyDescent="0.25">
      <c r="A64" t="s">
        <v>90</v>
      </c>
    </row>
    <row r="65" spans="1:1" hidden="1" x14ac:dyDescent="0.25">
      <c r="A65" t="s">
        <v>91</v>
      </c>
    </row>
    <row r="66" spans="1:1" hidden="1" x14ac:dyDescent="0.25">
      <c r="A66" t="s">
        <v>92</v>
      </c>
    </row>
    <row r="67" spans="1:1" hidden="1" x14ac:dyDescent="0.25">
      <c r="A67" t="s">
        <v>93</v>
      </c>
    </row>
    <row r="68" spans="1:1" hidden="1" x14ac:dyDescent="0.25">
      <c r="A68" t="s">
        <v>94</v>
      </c>
    </row>
    <row r="69" spans="1:1" hidden="1" x14ac:dyDescent="0.25">
      <c r="A69" t="s">
        <v>356</v>
      </c>
    </row>
    <row r="70" spans="1:1" hidden="1" x14ac:dyDescent="0.25">
      <c r="A70" t="s">
        <v>95</v>
      </c>
    </row>
    <row r="71" spans="1:1" hidden="1" x14ac:dyDescent="0.25">
      <c r="A71" t="s">
        <v>96</v>
      </c>
    </row>
    <row r="72" spans="1:1" hidden="1" x14ac:dyDescent="0.25">
      <c r="A72" t="s">
        <v>452</v>
      </c>
    </row>
    <row r="73" spans="1:1" hidden="1" x14ac:dyDescent="0.25">
      <c r="A73" t="s">
        <v>97</v>
      </c>
    </row>
    <row r="74" spans="1:1" hidden="1" x14ac:dyDescent="0.25">
      <c r="A74" t="s">
        <v>358</v>
      </c>
    </row>
    <row r="75" spans="1:1" hidden="1" x14ac:dyDescent="0.25">
      <c r="A75" t="s">
        <v>98</v>
      </c>
    </row>
    <row r="76" spans="1:1" hidden="1" x14ac:dyDescent="0.25">
      <c r="A76" t="s">
        <v>359</v>
      </c>
    </row>
    <row r="77" spans="1:1" hidden="1" x14ac:dyDescent="0.25">
      <c r="A77" t="s">
        <v>99</v>
      </c>
    </row>
    <row r="78" spans="1:1" hidden="1" x14ac:dyDescent="0.25">
      <c r="A78" t="s">
        <v>453</v>
      </c>
    </row>
    <row r="79" spans="1:1" hidden="1" x14ac:dyDescent="0.25">
      <c r="A79" t="s">
        <v>100</v>
      </c>
    </row>
    <row r="80" spans="1:1" hidden="1" x14ac:dyDescent="0.25">
      <c r="A80" t="s">
        <v>454</v>
      </c>
    </row>
    <row r="81" spans="1:1" hidden="1" x14ac:dyDescent="0.25">
      <c r="A81" t="s">
        <v>94</v>
      </c>
    </row>
    <row r="82" spans="1:1" hidden="1" x14ac:dyDescent="0.25">
      <c r="A82" t="s">
        <v>356</v>
      </c>
    </row>
    <row r="83" spans="1:1" hidden="1" x14ac:dyDescent="0.25">
      <c r="A83" t="s">
        <v>101</v>
      </c>
    </row>
    <row r="84" spans="1:1" hidden="1" x14ac:dyDescent="0.25">
      <c r="A84" t="s">
        <v>102</v>
      </c>
    </row>
    <row r="85" spans="1:1" hidden="1" x14ac:dyDescent="0.25">
      <c r="A85" t="s">
        <v>103</v>
      </c>
    </row>
    <row r="86" spans="1:1" hidden="1" x14ac:dyDescent="0.25">
      <c r="A86" t="s">
        <v>455</v>
      </c>
    </row>
    <row r="87" spans="1:1" hidden="1" x14ac:dyDescent="0.25">
      <c r="A87" t="s">
        <v>104</v>
      </c>
    </row>
    <row r="88" spans="1:1" hidden="1" x14ac:dyDescent="0.25">
      <c r="A88" t="s">
        <v>363</v>
      </c>
    </row>
    <row r="89" spans="1:1" hidden="1" x14ac:dyDescent="0.25">
      <c r="A89" t="s">
        <v>105</v>
      </c>
    </row>
    <row r="90" spans="1:1" hidden="1" x14ac:dyDescent="0.25">
      <c r="A90" t="s">
        <v>106</v>
      </c>
    </row>
    <row r="91" spans="1:1" hidden="1" x14ac:dyDescent="0.25">
      <c r="A91" t="s">
        <v>456</v>
      </c>
    </row>
    <row r="92" spans="1:1" hidden="1" x14ac:dyDescent="0.25">
      <c r="A92" t="s">
        <v>107</v>
      </c>
    </row>
    <row r="93" spans="1:1" hidden="1" x14ac:dyDescent="0.25">
      <c r="A93" t="s">
        <v>108</v>
      </c>
    </row>
    <row r="94" spans="1:1" hidden="1" x14ac:dyDescent="0.25">
      <c r="A94" t="s">
        <v>457</v>
      </c>
    </row>
    <row r="95" spans="1:1" hidden="1" x14ac:dyDescent="0.25">
      <c r="A95" t="s">
        <v>109</v>
      </c>
    </row>
    <row r="96" spans="1:1" hidden="1" x14ac:dyDescent="0.25">
      <c r="A96" t="s">
        <v>458</v>
      </c>
    </row>
    <row r="97" spans="1:1" hidden="1" x14ac:dyDescent="0.25">
      <c r="A97" t="s">
        <v>110</v>
      </c>
    </row>
    <row r="98" spans="1:1" hidden="1" x14ac:dyDescent="0.25">
      <c r="A98" t="s">
        <v>459</v>
      </c>
    </row>
    <row r="99" spans="1:1" hidden="1" x14ac:dyDescent="0.25">
      <c r="A99" t="s">
        <v>111</v>
      </c>
    </row>
    <row r="100" spans="1:1" hidden="1" x14ac:dyDescent="0.25">
      <c r="A100" t="s">
        <v>460</v>
      </c>
    </row>
    <row r="101" spans="1:1" hidden="1" x14ac:dyDescent="0.25">
      <c r="A101" t="s">
        <v>112</v>
      </c>
    </row>
    <row r="102" spans="1:1" hidden="1" x14ac:dyDescent="0.25">
      <c r="A102" t="s">
        <v>461</v>
      </c>
    </row>
    <row r="103" spans="1:1" hidden="1" x14ac:dyDescent="0.25">
      <c r="A103" t="s">
        <v>113</v>
      </c>
    </row>
    <row r="104" spans="1:1" hidden="1" x14ac:dyDescent="0.25">
      <c r="A104" t="s">
        <v>462</v>
      </c>
    </row>
    <row r="105" spans="1:1" hidden="1" x14ac:dyDescent="0.25">
      <c r="A105" t="s">
        <v>114</v>
      </c>
    </row>
    <row r="106" spans="1:1" hidden="1" x14ac:dyDescent="0.25">
      <c r="A106" t="s">
        <v>371</v>
      </c>
    </row>
    <row r="107" spans="1:1" hidden="1" x14ac:dyDescent="0.25">
      <c r="A107" t="s">
        <v>309</v>
      </c>
    </row>
    <row r="108" spans="1:1" hidden="1" x14ac:dyDescent="0.25">
      <c r="A108" t="s">
        <v>463</v>
      </c>
    </row>
    <row r="109" spans="1:1" hidden="1" x14ac:dyDescent="0.25">
      <c r="A109" t="s">
        <v>310</v>
      </c>
    </row>
    <row r="110" spans="1:1" hidden="1" x14ac:dyDescent="0.25">
      <c r="A110" t="s">
        <v>464</v>
      </c>
    </row>
    <row r="111" spans="1:1" hidden="1" x14ac:dyDescent="0.25">
      <c r="A111" t="s">
        <v>311</v>
      </c>
    </row>
    <row r="112" spans="1:1" hidden="1" x14ac:dyDescent="0.25">
      <c r="A112" t="s">
        <v>312</v>
      </c>
    </row>
    <row r="113" spans="1:1" hidden="1" x14ac:dyDescent="0.25">
      <c r="A113" t="s">
        <v>465</v>
      </c>
    </row>
    <row r="114" spans="1:1" hidden="1" x14ac:dyDescent="0.25">
      <c r="A114" t="s">
        <v>115</v>
      </c>
    </row>
    <row r="115" spans="1:1" hidden="1" x14ac:dyDescent="0.25">
      <c r="A115" t="s">
        <v>466</v>
      </c>
    </row>
    <row r="116" spans="1:1" hidden="1" x14ac:dyDescent="0.25">
      <c r="A116" t="s">
        <v>94</v>
      </c>
    </row>
    <row r="117" spans="1:1" hidden="1" x14ac:dyDescent="0.25">
      <c r="A117" t="s">
        <v>356</v>
      </c>
    </row>
    <row r="118" spans="1:1" hidden="1" x14ac:dyDescent="0.25">
      <c r="A118" t="s">
        <v>116</v>
      </c>
    </row>
    <row r="119" spans="1:1" hidden="1" x14ac:dyDescent="0.25">
      <c r="A119" t="s">
        <v>467</v>
      </c>
    </row>
    <row r="120" spans="1:1" hidden="1" x14ac:dyDescent="0.25">
      <c r="A120" t="s">
        <v>117</v>
      </c>
    </row>
    <row r="121" spans="1:1" hidden="1" x14ac:dyDescent="0.25">
      <c r="A121" t="s">
        <v>118</v>
      </c>
    </row>
    <row r="122" spans="1:1" hidden="1" x14ac:dyDescent="0.25">
      <c r="A122" t="s">
        <v>119</v>
      </c>
    </row>
    <row r="123" spans="1:1" hidden="1" x14ac:dyDescent="0.25">
      <c r="A123" t="s">
        <v>377</v>
      </c>
    </row>
    <row r="124" spans="1:1" hidden="1" x14ac:dyDescent="0.25">
      <c r="A124" t="s">
        <v>120</v>
      </c>
    </row>
    <row r="125" spans="1:1" hidden="1" x14ac:dyDescent="0.25">
      <c r="A125" t="s">
        <v>121</v>
      </c>
    </row>
    <row r="126" spans="1:1" hidden="1" x14ac:dyDescent="0.25">
      <c r="A126" t="s">
        <v>122</v>
      </c>
    </row>
    <row r="127" spans="1:1" hidden="1" x14ac:dyDescent="0.25">
      <c r="A127" t="s">
        <v>123</v>
      </c>
    </row>
    <row r="128" spans="1:1" hidden="1" x14ac:dyDescent="0.25">
      <c r="A128" t="s">
        <v>124</v>
      </c>
    </row>
    <row r="129" spans="1:1" hidden="1" x14ac:dyDescent="0.25">
      <c r="A129" t="s">
        <v>380</v>
      </c>
    </row>
    <row r="130" spans="1:1" hidden="1" x14ac:dyDescent="0.25">
      <c r="A130" t="s">
        <v>125</v>
      </c>
    </row>
    <row r="131" spans="1:1" hidden="1" x14ac:dyDescent="0.25">
      <c r="A131" t="s">
        <v>126</v>
      </c>
    </row>
    <row r="132" spans="1:1" hidden="1" x14ac:dyDescent="0.25">
      <c r="A132" t="s">
        <v>468</v>
      </c>
    </row>
    <row r="133" spans="1:1" hidden="1" x14ac:dyDescent="0.25">
      <c r="A133" t="s">
        <v>127</v>
      </c>
    </row>
    <row r="134" spans="1:1" hidden="1" x14ac:dyDescent="0.25">
      <c r="A134" t="s">
        <v>469</v>
      </c>
    </row>
    <row r="135" spans="1:1" hidden="1" x14ac:dyDescent="0.25">
      <c r="A135" t="s">
        <v>128</v>
      </c>
    </row>
    <row r="136" spans="1:1" hidden="1" x14ac:dyDescent="0.25">
      <c r="A136" t="s">
        <v>129</v>
      </c>
    </row>
    <row r="137" spans="1:1" hidden="1" x14ac:dyDescent="0.25">
      <c r="A137" t="s">
        <v>130</v>
      </c>
    </row>
    <row r="138" spans="1:1" hidden="1" x14ac:dyDescent="0.25">
      <c r="A138" t="s">
        <v>131</v>
      </c>
    </row>
    <row r="139" spans="1:1" hidden="1" x14ac:dyDescent="0.25">
      <c r="A139" t="s">
        <v>132</v>
      </c>
    </row>
    <row r="140" spans="1:1" hidden="1" x14ac:dyDescent="0.25">
      <c r="A140" t="s">
        <v>133</v>
      </c>
    </row>
    <row r="141" spans="1:1" hidden="1" x14ac:dyDescent="0.25">
      <c r="A141" t="s">
        <v>134</v>
      </c>
    </row>
    <row r="142" spans="1:1" hidden="1" x14ac:dyDescent="0.25">
      <c r="A142" t="s">
        <v>135</v>
      </c>
    </row>
    <row r="143" spans="1:1" hidden="1" x14ac:dyDescent="0.25">
      <c r="A143" t="s">
        <v>136</v>
      </c>
    </row>
    <row r="144" spans="1:1" hidden="1" x14ac:dyDescent="0.25">
      <c r="A144" t="s">
        <v>137</v>
      </c>
    </row>
    <row r="145" spans="1:1" hidden="1" x14ac:dyDescent="0.25">
      <c r="A145" t="s">
        <v>97</v>
      </c>
    </row>
    <row r="146" spans="1:1" hidden="1" x14ac:dyDescent="0.25">
      <c r="A146" t="s">
        <v>138</v>
      </c>
    </row>
    <row r="147" spans="1:1" hidden="1" x14ac:dyDescent="0.25">
      <c r="A147" t="s">
        <v>139</v>
      </c>
    </row>
    <row r="148" spans="1:1" hidden="1" x14ac:dyDescent="0.25">
      <c r="A148" t="s">
        <v>140</v>
      </c>
    </row>
    <row r="149" spans="1:1" hidden="1" x14ac:dyDescent="0.25">
      <c r="A149" t="s">
        <v>141</v>
      </c>
    </row>
    <row r="150" spans="1:1" hidden="1" x14ac:dyDescent="0.25">
      <c r="A150" t="s">
        <v>142</v>
      </c>
    </row>
    <row r="151" spans="1:1" hidden="1" x14ac:dyDescent="0.25">
      <c r="A151" t="s">
        <v>470</v>
      </c>
    </row>
    <row r="152" spans="1:1" hidden="1" x14ac:dyDescent="0.25">
      <c r="A152" t="s">
        <v>143</v>
      </c>
    </row>
    <row r="153" spans="1:1" hidden="1" x14ac:dyDescent="0.25">
      <c r="A153" t="s">
        <v>471</v>
      </c>
    </row>
    <row r="154" spans="1:1" hidden="1" x14ac:dyDescent="0.25">
      <c r="A154" t="s">
        <v>144</v>
      </c>
    </row>
    <row r="155" spans="1:1" hidden="1" x14ac:dyDescent="0.25">
      <c r="A155" t="s">
        <v>471</v>
      </c>
    </row>
    <row r="156" spans="1:1" hidden="1" x14ac:dyDescent="0.25">
      <c r="A156" t="s">
        <v>145</v>
      </c>
    </row>
    <row r="157" spans="1:1" hidden="1" x14ac:dyDescent="0.25">
      <c r="A157" t="s">
        <v>146</v>
      </c>
    </row>
    <row r="158" spans="1:1" hidden="1" x14ac:dyDescent="0.25">
      <c r="A158" t="s">
        <v>147</v>
      </c>
    </row>
    <row r="159" spans="1:1" hidden="1" x14ac:dyDescent="0.25">
      <c r="A159" t="s">
        <v>148</v>
      </c>
    </row>
    <row r="160" spans="1:1" hidden="1" x14ac:dyDescent="0.25">
      <c r="A160" t="s">
        <v>149</v>
      </c>
    </row>
    <row r="161" spans="1:1" hidden="1" x14ac:dyDescent="0.25">
      <c r="A161" t="s">
        <v>150</v>
      </c>
    </row>
    <row r="162" spans="1:1" hidden="1" x14ac:dyDescent="0.25">
      <c r="A162" t="s">
        <v>472</v>
      </c>
    </row>
    <row r="163" spans="1:1" hidden="1" x14ac:dyDescent="0.25">
      <c r="A163" t="s">
        <v>151</v>
      </c>
    </row>
    <row r="164" spans="1:1" hidden="1" x14ac:dyDescent="0.25">
      <c r="A164" t="s">
        <v>152</v>
      </c>
    </row>
    <row r="165" spans="1:1" hidden="1" x14ac:dyDescent="0.25">
      <c r="A165" t="s">
        <v>153</v>
      </c>
    </row>
    <row r="166" spans="1:1" hidden="1" x14ac:dyDescent="0.25">
      <c r="A166" t="s">
        <v>473</v>
      </c>
    </row>
    <row r="167" spans="1:1" hidden="1" x14ac:dyDescent="0.25">
      <c r="A167" t="s">
        <v>154</v>
      </c>
    </row>
    <row r="168" spans="1:1" hidden="1" x14ac:dyDescent="0.25">
      <c r="A168" t="s">
        <v>474</v>
      </c>
    </row>
    <row r="169" spans="1:1" hidden="1" x14ac:dyDescent="0.25">
      <c r="A169" t="s">
        <v>155</v>
      </c>
    </row>
    <row r="170" spans="1:1" hidden="1" x14ac:dyDescent="0.25">
      <c r="A170" t="s">
        <v>156</v>
      </c>
    </row>
    <row r="171" spans="1:1" hidden="1" x14ac:dyDescent="0.25">
      <c r="A171" t="s">
        <v>157</v>
      </c>
    </row>
    <row r="172" spans="1:1" hidden="1" x14ac:dyDescent="0.25">
      <c r="A172" t="s">
        <v>475</v>
      </c>
    </row>
    <row r="173" spans="1:1" hidden="1" x14ac:dyDescent="0.25">
      <c r="A173" t="s">
        <v>158</v>
      </c>
    </row>
    <row r="174" spans="1:1" hidden="1" x14ac:dyDescent="0.25">
      <c r="A174" t="s">
        <v>97</v>
      </c>
    </row>
    <row r="175" spans="1:1" hidden="1" x14ac:dyDescent="0.25">
      <c r="A175" t="s">
        <v>354</v>
      </c>
    </row>
    <row r="176" spans="1:1" hidden="1" x14ac:dyDescent="0.25">
      <c r="A176" t="s">
        <v>159</v>
      </c>
    </row>
    <row r="177" spans="1:1" hidden="1" x14ac:dyDescent="0.25">
      <c r="A177" t="s">
        <v>160</v>
      </c>
    </row>
    <row r="178" spans="1:1" hidden="1" x14ac:dyDescent="0.25">
      <c r="A178" t="s">
        <v>161</v>
      </c>
    </row>
    <row r="179" spans="1:1" hidden="1" x14ac:dyDescent="0.25">
      <c r="A179" t="s">
        <v>94</v>
      </c>
    </row>
    <row r="180" spans="1:1" hidden="1" x14ac:dyDescent="0.25">
      <c r="A180" t="s">
        <v>356</v>
      </c>
    </row>
    <row r="181" spans="1:1" hidden="1" x14ac:dyDescent="0.25">
      <c r="A181" t="s">
        <v>162</v>
      </c>
    </row>
    <row r="182" spans="1:1" hidden="1" x14ac:dyDescent="0.25">
      <c r="A182" t="s">
        <v>94</v>
      </c>
    </row>
    <row r="183" spans="1:1" hidden="1" x14ac:dyDescent="0.25">
      <c r="A183" t="s">
        <v>356</v>
      </c>
    </row>
    <row r="184" spans="1:1" hidden="1" x14ac:dyDescent="0.25">
      <c r="A184" t="s">
        <v>138</v>
      </c>
    </row>
    <row r="185" spans="1:1" hidden="1" x14ac:dyDescent="0.25">
      <c r="A185" t="s">
        <v>163</v>
      </c>
    </row>
    <row r="186" spans="1:1" hidden="1" x14ac:dyDescent="0.25">
      <c r="A186" t="s">
        <v>476</v>
      </c>
    </row>
    <row r="187" spans="1:1" hidden="1" x14ac:dyDescent="0.25">
      <c r="A187" t="s">
        <v>164</v>
      </c>
    </row>
    <row r="188" spans="1:1" hidden="1" x14ac:dyDescent="0.25">
      <c r="A188" t="s">
        <v>477</v>
      </c>
    </row>
    <row r="189" spans="1:1" hidden="1" x14ac:dyDescent="0.25">
      <c r="A189" t="s">
        <v>165</v>
      </c>
    </row>
    <row r="190" spans="1:1" hidden="1" x14ac:dyDescent="0.25">
      <c r="A190" t="s">
        <v>390</v>
      </c>
    </row>
    <row r="191" spans="1:1" hidden="1" x14ac:dyDescent="0.25">
      <c r="A191" t="s">
        <v>166</v>
      </c>
    </row>
    <row r="192" spans="1:1" hidden="1" x14ac:dyDescent="0.25">
      <c r="A192" t="s">
        <v>94</v>
      </c>
    </row>
    <row r="193" spans="1:1" hidden="1" x14ac:dyDescent="0.25">
      <c r="A193" t="s">
        <v>356</v>
      </c>
    </row>
    <row r="194" spans="1:1" hidden="1" x14ac:dyDescent="0.25">
      <c r="A194" t="s">
        <v>167</v>
      </c>
    </row>
    <row r="195" spans="1:1" hidden="1" x14ac:dyDescent="0.25">
      <c r="A195" t="s">
        <v>138</v>
      </c>
    </row>
    <row r="196" spans="1:1" hidden="1" x14ac:dyDescent="0.25">
      <c r="A196" t="s">
        <v>94</v>
      </c>
    </row>
    <row r="197" spans="1:1" hidden="1" x14ac:dyDescent="0.25">
      <c r="A197" t="s">
        <v>356</v>
      </c>
    </row>
    <row r="198" spans="1:1" hidden="1" x14ac:dyDescent="0.25">
      <c r="A198" t="s">
        <v>168</v>
      </c>
    </row>
    <row r="199" spans="1:1" hidden="1" x14ac:dyDescent="0.25">
      <c r="A199" t="s">
        <v>478</v>
      </c>
    </row>
    <row r="200" spans="1:1" hidden="1" x14ac:dyDescent="0.25">
      <c r="A200" t="s">
        <v>169</v>
      </c>
    </row>
    <row r="201" spans="1:1" hidden="1" x14ac:dyDescent="0.25">
      <c r="A201" t="s">
        <v>479</v>
      </c>
    </row>
    <row r="202" spans="1:1" hidden="1" x14ac:dyDescent="0.25">
      <c r="A202" t="s">
        <v>97</v>
      </c>
    </row>
    <row r="203" spans="1:1" hidden="1" x14ac:dyDescent="0.25">
      <c r="A203" t="s">
        <v>394</v>
      </c>
    </row>
    <row r="204" spans="1:1" hidden="1" x14ac:dyDescent="0.25">
      <c r="A204" t="s">
        <v>170</v>
      </c>
    </row>
    <row r="205" spans="1:1" hidden="1" x14ac:dyDescent="0.25">
      <c r="A205" t="s">
        <v>171</v>
      </c>
    </row>
    <row r="206" spans="1:1" hidden="1" x14ac:dyDescent="0.25">
      <c r="A206" t="s">
        <v>480</v>
      </c>
    </row>
    <row r="207" spans="1:1" hidden="1" x14ac:dyDescent="0.25">
      <c r="A207" t="s">
        <v>172</v>
      </c>
    </row>
    <row r="208" spans="1:1" hidden="1" x14ac:dyDescent="0.25">
      <c r="A208" t="s">
        <v>173</v>
      </c>
    </row>
    <row r="209" spans="1:1" hidden="1" x14ac:dyDescent="0.25">
      <c r="A209" t="s">
        <v>94</v>
      </c>
    </row>
    <row r="210" spans="1:1" hidden="1" x14ac:dyDescent="0.25">
      <c r="A210" t="s">
        <v>356</v>
      </c>
    </row>
    <row r="211" spans="1:1" hidden="1" x14ac:dyDescent="0.25">
      <c r="A211" t="s">
        <v>138</v>
      </c>
    </row>
    <row r="212" spans="1:1" hidden="1" x14ac:dyDescent="0.25">
      <c r="A212" t="s">
        <v>174</v>
      </c>
    </row>
    <row r="213" spans="1:1" hidden="1" x14ac:dyDescent="0.25">
      <c r="A213" t="s">
        <v>481</v>
      </c>
    </row>
    <row r="214" spans="1:1" hidden="1" x14ac:dyDescent="0.25">
      <c r="A214" t="s">
        <v>175</v>
      </c>
    </row>
    <row r="215" spans="1:1" hidden="1" x14ac:dyDescent="0.25">
      <c r="A215" t="s">
        <v>97</v>
      </c>
    </row>
    <row r="216" spans="1:1" hidden="1" x14ac:dyDescent="0.25">
      <c r="A216" t="s">
        <v>354</v>
      </c>
    </row>
    <row r="217" spans="1:1" hidden="1" x14ac:dyDescent="0.25">
      <c r="A217" t="s">
        <v>176</v>
      </c>
    </row>
    <row r="218" spans="1:1" hidden="1" x14ac:dyDescent="0.25">
      <c r="A218" t="s">
        <v>482</v>
      </c>
    </row>
    <row r="219" spans="1:1" hidden="1" x14ac:dyDescent="0.25">
      <c r="A219" t="s">
        <v>177</v>
      </c>
    </row>
    <row r="220" spans="1:1" hidden="1" x14ac:dyDescent="0.25">
      <c r="A220" t="s">
        <v>178</v>
      </c>
    </row>
    <row r="221" spans="1:1" hidden="1" x14ac:dyDescent="0.25">
      <c r="A221" t="s">
        <v>96</v>
      </c>
    </row>
    <row r="222" spans="1:1" hidden="1" x14ac:dyDescent="0.25">
      <c r="A222" t="s">
        <v>179</v>
      </c>
    </row>
    <row r="223" spans="1:1" hidden="1" x14ac:dyDescent="0.25">
      <c r="A223" t="s">
        <v>94</v>
      </c>
    </row>
    <row r="224" spans="1:1" hidden="1" x14ac:dyDescent="0.25">
      <c r="A224" t="s">
        <v>356</v>
      </c>
    </row>
    <row r="225" spans="1:1" hidden="1" x14ac:dyDescent="0.25">
      <c r="A225" t="s">
        <v>180</v>
      </c>
    </row>
    <row r="226" spans="1:1" hidden="1" x14ac:dyDescent="0.25">
      <c r="A226" t="s">
        <v>181</v>
      </c>
    </row>
    <row r="227" spans="1:1" hidden="1" x14ac:dyDescent="0.25">
      <c r="A227" t="s">
        <v>182</v>
      </c>
    </row>
    <row r="228" spans="1:1" hidden="1" x14ac:dyDescent="0.25">
      <c r="A228" t="s">
        <v>183</v>
      </c>
    </row>
    <row r="229" spans="1:1" hidden="1" x14ac:dyDescent="0.25">
      <c r="A229" t="s">
        <v>184</v>
      </c>
    </row>
    <row r="230" spans="1:1" hidden="1" x14ac:dyDescent="0.25">
      <c r="A230" t="s">
        <v>185</v>
      </c>
    </row>
    <row r="231" spans="1:1" hidden="1" x14ac:dyDescent="0.25">
      <c r="A231" t="s">
        <v>186</v>
      </c>
    </row>
    <row r="232" spans="1:1" hidden="1" x14ac:dyDescent="0.25">
      <c r="A232" t="s">
        <v>187</v>
      </c>
    </row>
    <row r="233" spans="1:1" hidden="1" x14ac:dyDescent="0.25">
      <c r="A233" t="s">
        <v>188</v>
      </c>
    </row>
    <row r="234" spans="1:1" hidden="1" x14ac:dyDescent="0.25">
      <c r="A234" t="s">
        <v>189</v>
      </c>
    </row>
    <row r="235" spans="1:1" hidden="1" x14ac:dyDescent="0.25">
      <c r="A235" t="s">
        <v>190</v>
      </c>
    </row>
    <row r="236" spans="1:1" hidden="1" x14ac:dyDescent="0.25">
      <c r="A236" t="s">
        <v>191</v>
      </c>
    </row>
    <row r="237" spans="1:1" hidden="1" x14ac:dyDescent="0.25">
      <c r="A237" t="s">
        <v>192</v>
      </c>
    </row>
    <row r="238" spans="1:1" hidden="1" x14ac:dyDescent="0.25">
      <c r="A238" t="s">
        <v>193</v>
      </c>
    </row>
    <row r="239" spans="1:1" hidden="1" x14ac:dyDescent="0.25">
      <c r="A239" t="s">
        <v>194</v>
      </c>
    </row>
    <row r="240" spans="1:1" hidden="1" x14ac:dyDescent="0.25">
      <c r="A240" t="s">
        <v>195</v>
      </c>
    </row>
    <row r="241" spans="1:1" hidden="1" x14ac:dyDescent="0.25">
      <c r="A241" t="s">
        <v>196</v>
      </c>
    </row>
    <row r="242" spans="1:1" hidden="1" x14ac:dyDescent="0.25">
      <c r="A242" t="s">
        <v>197</v>
      </c>
    </row>
    <row r="243" spans="1:1" hidden="1" x14ac:dyDescent="0.25">
      <c r="A243" t="s">
        <v>198</v>
      </c>
    </row>
    <row r="244" spans="1:1" hidden="1" x14ac:dyDescent="0.25">
      <c r="A244" t="s">
        <v>199</v>
      </c>
    </row>
    <row r="245" spans="1:1" hidden="1" x14ac:dyDescent="0.25">
      <c r="A245" t="s">
        <v>200</v>
      </c>
    </row>
    <row r="246" spans="1:1" hidden="1" x14ac:dyDescent="0.25">
      <c r="A246" t="s">
        <v>201</v>
      </c>
    </row>
    <row r="247" spans="1:1" hidden="1" x14ac:dyDescent="0.25">
      <c r="A247" t="s">
        <v>483</v>
      </c>
    </row>
    <row r="248" spans="1:1" hidden="1" x14ac:dyDescent="0.25">
      <c r="A248" t="s">
        <v>94</v>
      </c>
    </row>
    <row r="249" spans="1:1" hidden="1" x14ac:dyDescent="0.25">
      <c r="A249" t="s">
        <v>399</v>
      </c>
    </row>
    <row r="250" spans="1:1" hidden="1" x14ac:dyDescent="0.25">
      <c r="A250" t="s">
        <v>138</v>
      </c>
    </row>
    <row r="251" spans="1:1" hidden="1" x14ac:dyDescent="0.25">
      <c r="A251" t="s">
        <v>400</v>
      </c>
    </row>
    <row r="252" spans="1:1" hidden="1" x14ac:dyDescent="0.25">
      <c r="A252" t="s">
        <v>202</v>
      </c>
    </row>
    <row r="253" spans="1:1" hidden="1" x14ac:dyDescent="0.25">
      <c r="A253" t="s">
        <v>97</v>
      </c>
    </row>
    <row r="254" spans="1:1" hidden="1" x14ac:dyDescent="0.25">
      <c r="A254" t="s">
        <v>354</v>
      </c>
    </row>
    <row r="255" spans="1:1" hidden="1" x14ac:dyDescent="0.25">
      <c r="A255" t="s">
        <v>203</v>
      </c>
    </row>
    <row r="256" spans="1:1" hidden="1" x14ac:dyDescent="0.25">
      <c r="A256" t="s">
        <v>204</v>
      </c>
    </row>
    <row r="257" spans="1:1" hidden="1" x14ac:dyDescent="0.25">
      <c r="A257" t="s">
        <v>484</v>
      </c>
    </row>
    <row r="258" spans="1:1" hidden="1" x14ac:dyDescent="0.25">
      <c r="A258" t="s">
        <v>205</v>
      </c>
    </row>
    <row r="259" spans="1:1" hidden="1" x14ac:dyDescent="0.25">
      <c r="A259" t="s">
        <v>485</v>
      </c>
    </row>
    <row r="260" spans="1:1" hidden="1" x14ac:dyDescent="0.25">
      <c r="A260" t="s">
        <v>103</v>
      </c>
    </row>
    <row r="261" spans="1:1" hidden="1" x14ac:dyDescent="0.25">
      <c r="A261" t="s">
        <v>403</v>
      </c>
    </row>
    <row r="262" spans="1:1" hidden="1" x14ac:dyDescent="0.25">
      <c r="A262" t="s">
        <v>206</v>
      </c>
    </row>
    <row r="263" spans="1:1" hidden="1" x14ac:dyDescent="0.25">
      <c r="A263" t="s">
        <v>207</v>
      </c>
    </row>
    <row r="264" spans="1:1" hidden="1" x14ac:dyDescent="0.25">
      <c r="A264" t="s">
        <v>208</v>
      </c>
    </row>
    <row r="265" spans="1:1" hidden="1" x14ac:dyDescent="0.25">
      <c r="A265" t="s">
        <v>209</v>
      </c>
    </row>
    <row r="266" spans="1:1" hidden="1" x14ac:dyDescent="0.25">
      <c r="A266" t="s">
        <v>97</v>
      </c>
    </row>
    <row r="267" spans="1:1" hidden="1" x14ac:dyDescent="0.25">
      <c r="A267" t="s">
        <v>405</v>
      </c>
    </row>
    <row r="268" spans="1:1" hidden="1" x14ac:dyDescent="0.25">
      <c r="A268" t="s">
        <v>210</v>
      </c>
    </row>
    <row r="269" spans="1:1" hidden="1" x14ac:dyDescent="0.25">
      <c r="A269" t="s">
        <v>486</v>
      </c>
    </row>
    <row r="270" spans="1:1" hidden="1" x14ac:dyDescent="0.25">
      <c r="A270" t="s">
        <v>211</v>
      </c>
    </row>
    <row r="271" spans="1:1" hidden="1" x14ac:dyDescent="0.25">
      <c r="A271" t="s">
        <v>487</v>
      </c>
    </row>
    <row r="272" spans="1:1" hidden="1" x14ac:dyDescent="0.25">
      <c r="A272" t="s">
        <v>212</v>
      </c>
    </row>
    <row r="273" spans="1:1" hidden="1" x14ac:dyDescent="0.25">
      <c r="A273" t="s">
        <v>488</v>
      </c>
    </row>
    <row r="274" spans="1:1" hidden="1" x14ac:dyDescent="0.25">
      <c r="A274" t="s">
        <v>213</v>
      </c>
    </row>
    <row r="275" spans="1:1" hidden="1" x14ac:dyDescent="0.25">
      <c r="A275" t="s">
        <v>214</v>
      </c>
    </row>
    <row r="276" spans="1:1" hidden="1" x14ac:dyDescent="0.25">
      <c r="A276" t="s">
        <v>215</v>
      </c>
    </row>
    <row r="277" spans="1:1" hidden="1" x14ac:dyDescent="0.25">
      <c r="A277" t="s">
        <v>407</v>
      </c>
    </row>
    <row r="278" spans="1:1" hidden="1" x14ac:dyDescent="0.25">
      <c r="A278" t="s">
        <v>216</v>
      </c>
    </row>
    <row r="279" spans="1:1" hidden="1" x14ac:dyDescent="0.25">
      <c r="A279" t="s">
        <v>489</v>
      </c>
    </row>
    <row r="280" spans="1:1" hidden="1" x14ac:dyDescent="0.25">
      <c r="A280" t="s">
        <v>217</v>
      </c>
    </row>
    <row r="281" spans="1:1" hidden="1" x14ac:dyDescent="0.25">
      <c r="A281" t="s">
        <v>409</v>
      </c>
    </row>
    <row r="282" spans="1:1" hidden="1" x14ac:dyDescent="0.25">
      <c r="A282" t="s">
        <v>218</v>
      </c>
    </row>
    <row r="283" spans="1:1" hidden="1" x14ac:dyDescent="0.25">
      <c r="A283" t="s">
        <v>490</v>
      </c>
    </row>
    <row r="284" spans="1:1" hidden="1" x14ac:dyDescent="0.25">
      <c r="A284" t="s">
        <v>219</v>
      </c>
    </row>
    <row r="285" spans="1:1" hidden="1" x14ac:dyDescent="0.25">
      <c r="A285" t="s">
        <v>491</v>
      </c>
    </row>
    <row r="286" spans="1:1" hidden="1" x14ac:dyDescent="0.25">
      <c r="A286" t="s">
        <v>220</v>
      </c>
    </row>
    <row r="287" spans="1:1" hidden="1" x14ac:dyDescent="0.25">
      <c r="A287" t="s">
        <v>221</v>
      </c>
    </row>
    <row r="288" spans="1:1" hidden="1" x14ac:dyDescent="0.25">
      <c r="A288" t="s">
        <v>492</v>
      </c>
    </row>
    <row r="289" spans="1:1" hidden="1" x14ac:dyDescent="0.25">
      <c r="A289" t="s">
        <v>222</v>
      </c>
    </row>
    <row r="290" spans="1:1" hidden="1" x14ac:dyDescent="0.25">
      <c r="A290" t="s">
        <v>493</v>
      </c>
    </row>
    <row r="291" spans="1:1" hidden="1" x14ac:dyDescent="0.25">
      <c r="A291" t="s">
        <v>223</v>
      </c>
    </row>
    <row r="292" spans="1:1" hidden="1" x14ac:dyDescent="0.25">
      <c r="A292" t="s">
        <v>224</v>
      </c>
    </row>
    <row r="293" spans="1:1" hidden="1" x14ac:dyDescent="0.25">
      <c r="A293" t="s">
        <v>414</v>
      </c>
    </row>
    <row r="294" spans="1:1" hidden="1" x14ac:dyDescent="0.25">
      <c r="A294" t="s">
        <v>225</v>
      </c>
    </row>
    <row r="295" spans="1:1" hidden="1" x14ac:dyDescent="0.25">
      <c r="A295" t="s">
        <v>415</v>
      </c>
    </row>
    <row r="296" spans="1:1" hidden="1" x14ac:dyDescent="0.25">
      <c r="A296" t="s">
        <v>226</v>
      </c>
    </row>
    <row r="297" spans="1:1" hidden="1" x14ac:dyDescent="0.25">
      <c r="A297" t="s">
        <v>227</v>
      </c>
    </row>
    <row r="298" spans="1:1" hidden="1" x14ac:dyDescent="0.25">
      <c r="A298" t="s">
        <v>228</v>
      </c>
    </row>
    <row r="299" spans="1:1" hidden="1" x14ac:dyDescent="0.25">
      <c r="A299" t="s">
        <v>229</v>
      </c>
    </row>
    <row r="300" spans="1:1" hidden="1" x14ac:dyDescent="0.25">
      <c r="A300" t="s">
        <v>230</v>
      </c>
    </row>
    <row r="301" spans="1:1" hidden="1" x14ac:dyDescent="0.25">
      <c r="A301" t="s">
        <v>417</v>
      </c>
    </row>
    <row r="302" spans="1:1" hidden="1" x14ac:dyDescent="0.25">
      <c r="A302" t="s">
        <v>84</v>
      </c>
    </row>
    <row r="303" spans="1:1" hidden="1" x14ac:dyDescent="0.25">
      <c r="A303" t="s">
        <v>354</v>
      </c>
    </row>
    <row r="304" spans="1:1" hidden="1" x14ac:dyDescent="0.25">
      <c r="A304" t="s">
        <v>102</v>
      </c>
    </row>
    <row r="305" spans="1:1" hidden="1" x14ac:dyDescent="0.25">
      <c r="A305" t="s">
        <v>96</v>
      </c>
    </row>
    <row r="306" spans="1:1" hidden="1" x14ac:dyDescent="0.25">
      <c r="A306" t="s">
        <v>494</v>
      </c>
    </row>
    <row r="307" spans="1:1" hidden="1" x14ac:dyDescent="0.25">
      <c r="A307" t="s">
        <v>231</v>
      </c>
    </row>
    <row r="308" spans="1:1" hidden="1" x14ac:dyDescent="0.25">
      <c r="A308" t="s">
        <v>495</v>
      </c>
    </row>
    <row r="309" spans="1:1" hidden="1" x14ac:dyDescent="0.25">
      <c r="A309" t="s">
        <v>230</v>
      </c>
    </row>
    <row r="310" spans="1:1" hidden="1" x14ac:dyDescent="0.25">
      <c r="A310" t="s">
        <v>496</v>
      </c>
    </row>
    <row r="311" spans="1:1" hidden="1" x14ac:dyDescent="0.25">
      <c r="A311" t="s">
        <v>232</v>
      </c>
    </row>
    <row r="312" spans="1:1" hidden="1" x14ac:dyDescent="0.25">
      <c r="A312" t="s">
        <v>497</v>
      </c>
    </row>
    <row r="313" spans="1:1" hidden="1" x14ac:dyDescent="0.25">
      <c r="A313" t="s">
        <v>233</v>
      </c>
    </row>
    <row r="314" spans="1:1" hidden="1" x14ac:dyDescent="0.25">
      <c r="A314" t="s">
        <v>356</v>
      </c>
    </row>
    <row r="315" spans="1:1" hidden="1" x14ac:dyDescent="0.25">
      <c r="A315" t="s">
        <v>234</v>
      </c>
    </row>
    <row r="316" spans="1:1" hidden="1" x14ac:dyDescent="0.25">
      <c r="A316" t="s">
        <v>235</v>
      </c>
    </row>
    <row r="317" spans="1:1" hidden="1" x14ac:dyDescent="0.25">
      <c r="A317" t="s">
        <v>498</v>
      </c>
    </row>
    <row r="318" spans="1:1" hidden="1" x14ac:dyDescent="0.25">
      <c r="A318" t="s">
        <v>236</v>
      </c>
    </row>
    <row r="319" spans="1:1" hidden="1" x14ac:dyDescent="0.25">
      <c r="A319" t="s">
        <v>499</v>
      </c>
    </row>
    <row r="320" spans="1:1" hidden="1" x14ac:dyDescent="0.25">
      <c r="A320" t="s">
        <v>237</v>
      </c>
    </row>
    <row r="321" spans="1:1" hidden="1" x14ac:dyDescent="0.25">
      <c r="A321" t="s">
        <v>238</v>
      </c>
    </row>
    <row r="322" spans="1:1" hidden="1" x14ac:dyDescent="0.25">
      <c r="A322" t="s">
        <v>356</v>
      </c>
    </row>
    <row r="323" spans="1:1" hidden="1" x14ac:dyDescent="0.25">
      <c r="A323" t="s">
        <v>239</v>
      </c>
    </row>
    <row r="324" spans="1:1" hidden="1" x14ac:dyDescent="0.25">
      <c r="A324" t="s">
        <v>138</v>
      </c>
    </row>
    <row r="325" spans="1:1" hidden="1" x14ac:dyDescent="0.25">
      <c r="A325" t="s">
        <v>94</v>
      </c>
    </row>
    <row r="326" spans="1:1" hidden="1" x14ac:dyDescent="0.25">
      <c r="A326" t="s">
        <v>356</v>
      </c>
    </row>
    <row r="327" spans="1:1" hidden="1" x14ac:dyDescent="0.25">
      <c r="A327" t="s">
        <v>138</v>
      </c>
    </row>
    <row r="328" spans="1:1" hidden="1" x14ac:dyDescent="0.25">
      <c r="A328" t="s">
        <v>94</v>
      </c>
    </row>
    <row r="329" spans="1:1" hidden="1" x14ac:dyDescent="0.25">
      <c r="A329" t="s">
        <v>356</v>
      </c>
    </row>
    <row r="330" spans="1:1" hidden="1" x14ac:dyDescent="0.25">
      <c r="A330" t="s">
        <v>138</v>
      </c>
    </row>
    <row r="331" spans="1:1" hidden="1" x14ac:dyDescent="0.25">
      <c r="A331" t="s">
        <v>94</v>
      </c>
    </row>
    <row r="332" spans="1:1" hidden="1" x14ac:dyDescent="0.25">
      <c r="A332" t="s">
        <v>356</v>
      </c>
    </row>
    <row r="333" spans="1:1" hidden="1" x14ac:dyDescent="0.25">
      <c r="A333" t="s">
        <v>94</v>
      </c>
    </row>
    <row r="334" spans="1:1" hidden="1" x14ac:dyDescent="0.25">
      <c r="A334" t="s">
        <v>356</v>
      </c>
    </row>
    <row r="335" spans="1:1" hidden="1" x14ac:dyDescent="0.25">
      <c r="A335" t="s">
        <v>94</v>
      </c>
    </row>
    <row r="336" spans="1:1" hidden="1" x14ac:dyDescent="0.25">
      <c r="A336" t="s">
        <v>356</v>
      </c>
    </row>
    <row r="337" spans="1:1" hidden="1" x14ac:dyDescent="0.25">
      <c r="A337" t="s">
        <v>240</v>
      </c>
    </row>
    <row r="338" spans="1:1" hidden="1" x14ac:dyDescent="0.25">
      <c r="A338" t="s">
        <v>241</v>
      </c>
    </row>
    <row r="339" spans="1:1" hidden="1" x14ac:dyDescent="0.25">
      <c r="A339" t="s">
        <v>242</v>
      </c>
    </row>
    <row r="340" spans="1:1" hidden="1" x14ac:dyDescent="0.25">
      <c r="A340" t="s">
        <v>243</v>
      </c>
    </row>
    <row r="341" spans="1:1" hidden="1" x14ac:dyDescent="0.25">
      <c r="A341">
        <v>800</v>
      </c>
    </row>
    <row r="342" spans="1:1" hidden="1" x14ac:dyDescent="0.25">
      <c r="A342" t="s">
        <v>244</v>
      </c>
    </row>
    <row r="343" spans="1:1" hidden="1" x14ac:dyDescent="0.25">
      <c r="A343" t="s">
        <v>423</v>
      </c>
    </row>
    <row r="344" spans="1:1" hidden="1" x14ac:dyDescent="0.25">
      <c r="A344" t="s">
        <v>245</v>
      </c>
    </row>
    <row r="345" spans="1:1" hidden="1" x14ac:dyDescent="0.25">
      <c r="A345" t="s">
        <v>500</v>
      </c>
    </row>
    <row r="346" spans="1:1" hidden="1" x14ac:dyDescent="0.25">
      <c r="A346" t="s">
        <v>501</v>
      </c>
    </row>
    <row r="347" spans="1:1" hidden="1" x14ac:dyDescent="0.25">
      <c r="A347" t="s">
        <v>248</v>
      </c>
    </row>
    <row r="348" spans="1:1" hidden="1" x14ac:dyDescent="0.25">
      <c r="A348" t="s">
        <v>142</v>
      </c>
    </row>
    <row r="349" spans="1:1" hidden="1" x14ac:dyDescent="0.25">
      <c r="A349" t="s">
        <v>246</v>
      </c>
    </row>
    <row r="350" spans="1:1" hidden="1" x14ac:dyDescent="0.25">
      <c r="A350" t="s">
        <v>247</v>
      </c>
    </row>
    <row r="351" spans="1:1" hidden="1" x14ac:dyDescent="0.25">
      <c r="A351" t="s">
        <v>248</v>
      </c>
    </row>
    <row r="352" spans="1:1" hidden="1" x14ac:dyDescent="0.25">
      <c r="A352" t="s">
        <v>249</v>
      </c>
    </row>
    <row r="353" spans="1:7" hidden="1" x14ac:dyDescent="0.25">
      <c r="A353" t="s">
        <v>250</v>
      </c>
    </row>
    <row r="354" spans="1:7" hidden="1" x14ac:dyDescent="0.25">
      <c r="A354" t="s">
        <v>251</v>
      </c>
    </row>
    <row r="355" spans="1:7" hidden="1" x14ac:dyDescent="0.25">
      <c r="A355" t="s">
        <v>252</v>
      </c>
    </row>
    <row r="356" spans="1:7" hidden="1" x14ac:dyDescent="0.25">
      <c r="A356" t="s">
        <v>142</v>
      </c>
      <c r="B356" t="s">
        <v>246</v>
      </c>
      <c r="C356" t="s">
        <v>247</v>
      </c>
      <c r="D356" t="s">
        <v>248</v>
      </c>
      <c r="E356" t="s">
        <v>253</v>
      </c>
    </row>
    <row r="357" spans="1:7" hidden="1" x14ac:dyDescent="0.25">
      <c r="E357" t="s">
        <v>249</v>
      </c>
      <c r="F357" t="s">
        <v>250</v>
      </c>
      <c r="G357" t="s">
        <v>251</v>
      </c>
    </row>
    <row r="358" spans="1:7" hidden="1" x14ac:dyDescent="0.25">
      <c r="A358" t="s">
        <v>254</v>
      </c>
    </row>
    <row r="360" spans="1:7" x14ac:dyDescent="0.25">
      <c r="A360" t="s">
        <v>502</v>
      </c>
    </row>
    <row r="362" spans="1:7" x14ac:dyDescent="0.25">
      <c r="A362" t="s">
        <v>255</v>
      </c>
    </row>
    <row r="364" spans="1:7" x14ac:dyDescent="0.25">
      <c r="A364" t="s">
        <v>256</v>
      </c>
    </row>
    <row r="366" spans="1:7" x14ac:dyDescent="0.25">
      <c r="A366" t="s">
        <v>257</v>
      </c>
      <c r="B366" t="s">
        <v>256</v>
      </c>
      <c r="C366" t="s">
        <v>258</v>
      </c>
    </row>
    <row r="367" spans="1:7" x14ac:dyDescent="0.25">
      <c r="A367">
        <v>0</v>
      </c>
      <c r="B367">
        <v>3</v>
      </c>
      <c r="C367" t="s">
        <v>313</v>
      </c>
    </row>
    <row r="368" spans="1:7" x14ac:dyDescent="0.25">
      <c r="A368">
        <v>1</v>
      </c>
      <c r="B368">
        <v>4</v>
      </c>
      <c r="C368" t="s">
        <v>265</v>
      </c>
    </row>
    <row r="369" spans="1:3" x14ac:dyDescent="0.25">
      <c r="A369">
        <v>2</v>
      </c>
      <c r="B369">
        <v>1</v>
      </c>
      <c r="C369" t="s">
        <v>314</v>
      </c>
    </row>
    <row r="370" spans="1:3" x14ac:dyDescent="0.25">
      <c r="A370">
        <v>3</v>
      </c>
      <c r="B370">
        <v>2</v>
      </c>
      <c r="C370" t="s">
        <v>261</v>
      </c>
    </row>
    <row r="371" spans="1:3" x14ac:dyDescent="0.25">
      <c r="A371">
        <v>4</v>
      </c>
      <c r="B371">
        <v>1</v>
      </c>
      <c r="C371" t="s">
        <v>314</v>
      </c>
    </row>
    <row r="372" spans="1:3" x14ac:dyDescent="0.25">
      <c r="A372">
        <v>5</v>
      </c>
      <c r="B372">
        <v>5</v>
      </c>
      <c r="C372" t="s">
        <v>316</v>
      </c>
    </row>
    <row r="373" spans="1:3" x14ac:dyDescent="0.25">
      <c r="A373">
        <v>6</v>
      </c>
      <c r="B373">
        <v>1</v>
      </c>
      <c r="C373" t="s">
        <v>314</v>
      </c>
    </row>
    <row r="374" spans="1:3" x14ac:dyDescent="0.25">
      <c r="A374">
        <v>7</v>
      </c>
      <c r="B374">
        <v>5</v>
      </c>
      <c r="C374" t="s">
        <v>316</v>
      </c>
    </row>
    <row r="375" spans="1:3" x14ac:dyDescent="0.25">
      <c r="A375">
        <v>8</v>
      </c>
      <c r="B375">
        <v>6</v>
      </c>
      <c r="C375" t="s">
        <v>317</v>
      </c>
    </row>
    <row r="376" spans="1:3" x14ac:dyDescent="0.25">
      <c r="A376">
        <v>9</v>
      </c>
      <c r="B376">
        <v>1</v>
      </c>
      <c r="C376" t="s">
        <v>314</v>
      </c>
    </row>
    <row r="377" spans="1:3" x14ac:dyDescent="0.25">
      <c r="A377">
        <v>10</v>
      </c>
      <c r="B377">
        <v>4</v>
      </c>
      <c r="C377" t="s">
        <v>265</v>
      </c>
    </row>
    <row r="378" spans="1:3" x14ac:dyDescent="0.25">
      <c r="A378">
        <v>11</v>
      </c>
      <c r="B378">
        <v>0</v>
      </c>
      <c r="C378" t="s">
        <v>315</v>
      </c>
    </row>
    <row r="379" spans="1:3" x14ac:dyDescent="0.25">
      <c r="A379">
        <v>12</v>
      </c>
      <c r="B379">
        <v>3</v>
      </c>
      <c r="C379" t="s">
        <v>313</v>
      </c>
    </row>
    <row r="380" spans="1:3" x14ac:dyDescent="0.25">
      <c r="A380">
        <v>13</v>
      </c>
      <c r="B380">
        <v>1</v>
      </c>
      <c r="C380" t="s">
        <v>314</v>
      </c>
    </row>
    <row r="381" spans="1:3" x14ac:dyDescent="0.25">
      <c r="A381">
        <v>14</v>
      </c>
      <c r="B381">
        <v>0</v>
      </c>
      <c r="C381" t="s">
        <v>315</v>
      </c>
    </row>
    <row r="382" spans="1:3" x14ac:dyDescent="0.25">
      <c r="A382">
        <v>15</v>
      </c>
      <c r="B382">
        <v>2</v>
      </c>
      <c r="C382" t="s">
        <v>261</v>
      </c>
    </row>
    <row r="383" spans="1:3" x14ac:dyDescent="0.25">
      <c r="A383">
        <v>16</v>
      </c>
      <c r="B383">
        <v>3</v>
      </c>
      <c r="C383" t="s">
        <v>313</v>
      </c>
    </row>
    <row r="384" spans="1:3" x14ac:dyDescent="0.25">
      <c r="A384">
        <v>17</v>
      </c>
      <c r="B384">
        <v>3</v>
      </c>
      <c r="C384" t="s">
        <v>313</v>
      </c>
    </row>
    <row r="385" spans="1:3" x14ac:dyDescent="0.25">
      <c r="A385">
        <v>18</v>
      </c>
      <c r="B385">
        <v>2</v>
      </c>
      <c r="C385" t="s">
        <v>261</v>
      </c>
    </row>
    <row r="386" spans="1:3" x14ac:dyDescent="0.25">
      <c r="A386">
        <v>19</v>
      </c>
      <c r="B386">
        <v>2</v>
      </c>
      <c r="C386" t="s">
        <v>261</v>
      </c>
    </row>
    <row r="387" spans="1:3" x14ac:dyDescent="0.25">
      <c r="A387">
        <v>20</v>
      </c>
      <c r="B387">
        <v>1</v>
      </c>
      <c r="C387" t="s">
        <v>314</v>
      </c>
    </row>
    <row r="388" spans="1:3" x14ac:dyDescent="0.25">
      <c r="A388">
        <v>21</v>
      </c>
      <c r="B388">
        <v>3</v>
      </c>
      <c r="C388" t="s">
        <v>313</v>
      </c>
    </row>
    <row r="389" spans="1:3" x14ac:dyDescent="0.25">
      <c r="A389">
        <v>22</v>
      </c>
      <c r="B389">
        <v>1</v>
      </c>
      <c r="C389" t="s">
        <v>314</v>
      </c>
    </row>
    <row r="390" spans="1:3" x14ac:dyDescent="0.25">
      <c r="A390">
        <v>23</v>
      </c>
      <c r="B390">
        <v>1</v>
      </c>
      <c r="C390" t="s">
        <v>314</v>
      </c>
    </row>
    <row r="391" spans="1:3" x14ac:dyDescent="0.25">
      <c r="A391" t="s">
        <v>257</v>
      </c>
      <c r="B391" t="s">
        <v>256</v>
      </c>
      <c r="C391" t="s">
        <v>258</v>
      </c>
    </row>
    <row r="392" spans="1:3" x14ac:dyDescent="0.25">
      <c r="A392">
        <v>24</v>
      </c>
      <c r="B392">
        <v>2</v>
      </c>
      <c r="C392" t="s">
        <v>261</v>
      </c>
    </row>
    <row r="393" spans="1:3" x14ac:dyDescent="0.25">
      <c r="A393">
        <v>25</v>
      </c>
      <c r="B393">
        <v>1</v>
      </c>
      <c r="C393" t="s">
        <v>314</v>
      </c>
    </row>
    <row r="394" spans="1:3" x14ac:dyDescent="0.25">
      <c r="A394">
        <v>26</v>
      </c>
      <c r="B394">
        <v>5</v>
      </c>
      <c r="C394" t="s">
        <v>316</v>
      </c>
    </row>
    <row r="395" spans="1:3" x14ac:dyDescent="0.25">
      <c r="A395">
        <v>27</v>
      </c>
      <c r="B395">
        <v>7</v>
      </c>
      <c r="C395" t="s">
        <v>334</v>
      </c>
    </row>
    <row r="396" spans="1:3" x14ac:dyDescent="0.25">
      <c r="A396">
        <v>28</v>
      </c>
      <c r="B396">
        <v>6</v>
      </c>
      <c r="C396" t="s">
        <v>317</v>
      </c>
    </row>
    <row r="397" spans="1:3" x14ac:dyDescent="0.25">
      <c r="A397">
        <v>29</v>
      </c>
      <c r="B397">
        <v>3</v>
      </c>
      <c r="C397" t="s">
        <v>313</v>
      </c>
    </row>
    <row r="398" spans="1:3" x14ac:dyDescent="0.25">
      <c r="A398">
        <v>30</v>
      </c>
      <c r="B398">
        <v>4</v>
      </c>
      <c r="C398" t="s">
        <v>265</v>
      </c>
    </row>
    <row r="399" spans="1:3" x14ac:dyDescent="0.25">
      <c r="A399">
        <v>31</v>
      </c>
      <c r="B399">
        <v>3</v>
      </c>
      <c r="C399" t="s">
        <v>313</v>
      </c>
    </row>
    <row r="400" spans="1:3" x14ac:dyDescent="0.25">
      <c r="A400">
        <v>32</v>
      </c>
      <c r="B400">
        <v>6</v>
      </c>
      <c r="C400" t="s">
        <v>317</v>
      </c>
    </row>
    <row r="401" spans="1:3" x14ac:dyDescent="0.25">
      <c r="A401">
        <v>33</v>
      </c>
      <c r="B401">
        <v>2</v>
      </c>
      <c r="C401" t="s">
        <v>261</v>
      </c>
    </row>
    <row r="402" spans="1:3" x14ac:dyDescent="0.25">
      <c r="A402">
        <v>34</v>
      </c>
      <c r="B402">
        <v>1</v>
      </c>
      <c r="C402" t="s">
        <v>314</v>
      </c>
    </row>
    <row r="403" spans="1:3" x14ac:dyDescent="0.25">
      <c r="A403">
        <v>35</v>
      </c>
      <c r="B403">
        <v>1</v>
      </c>
      <c r="C403" t="s">
        <v>314</v>
      </c>
    </row>
    <row r="404" spans="1:3" x14ac:dyDescent="0.25">
      <c r="A404">
        <v>36</v>
      </c>
      <c r="B404">
        <v>2</v>
      </c>
      <c r="C404" t="s">
        <v>261</v>
      </c>
    </row>
    <row r="405" spans="1:3" x14ac:dyDescent="0.25">
      <c r="A405">
        <v>37</v>
      </c>
      <c r="B405">
        <v>4</v>
      </c>
      <c r="C405" t="s">
        <v>265</v>
      </c>
    </row>
    <row r="406" spans="1:3" x14ac:dyDescent="0.25">
      <c r="A406">
        <v>38</v>
      </c>
      <c r="B406">
        <v>2</v>
      </c>
      <c r="C406" t="s">
        <v>261</v>
      </c>
    </row>
    <row r="407" spans="1:3" x14ac:dyDescent="0.25">
      <c r="A407">
        <v>39</v>
      </c>
      <c r="B407">
        <v>1</v>
      </c>
      <c r="C407" t="s">
        <v>314</v>
      </c>
    </row>
    <row r="408" spans="1:3" x14ac:dyDescent="0.25">
      <c r="A408">
        <v>40</v>
      </c>
      <c r="B408">
        <v>2</v>
      </c>
      <c r="C408" t="s">
        <v>261</v>
      </c>
    </row>
    <row r="409" spans="1:3" x14ac:dyDescent="0.25">
      <c r="A409">
        <v>41</v>
      </c>
      <c r="B409">
        <v>3</v>
      </c>
      <c r="C409" t="s">
        <v>313</v>
      </c>
    </row>
    <row r="410" spans="1:3" x14ac:dyDescent="0.25">
      <c r="A410">
        <v>42</v>
      </c>
      <c r="B410">
        <v>2</v>
      </c>
      <c r="C410" t="s">
        <v>261</v>
      </c>
    </row>
    <row r="411" spans="1:3" x14ac:dyDescent="0.25">
      <c r="A411">
        <v>43</v>
      </c>
      <c r="B411">
        <v>2</v>
      </c>
      <c r="C411" t="s">
        <v>261</v>
      </c>
    </row>
    <row r="412" spans="1:3" x14ac:dyDescent="0.25">
      <c r="A412">
        <v>44</v>
      </c>
      <c r="B412">
        <v>3</v>
      </c>
      <c r="C412" t="s">
        <v>313</v>
      </c>
    </row>
    <row r="413" spans="1:3" x14ac:dyDescent="0.25">
      <c r="A413">
        <v>45</v>
      </c>
      <c r="B413">
        <v>3</v>
      </c>
      <c r="C413" t="s">
        <v>313</v>
      </c>
    </row>
    <row r="415" spans="1:3" x14ac:dyDescent="0.25">
      <c r="A415" t="s">
        <v>268</v>
      </c>
    </row>
    <row r="417" spans="1:3" x14ac:dyDescent="0.25">
      <c r="B417" t="s">
        <v>256</v>
      </c>
      <c r="C417" t="s">
        <v>258</v>
      </c>
    </row>
    <row r="418" spans="1:3" x14ac:dyDescent="0.25">
      <c r="A418" t="s">
        <v>269</v>
      </c>
      <c r="B418">
        <v>54</v>
      </c>
      <c r="C418" t="s">
        <v>438</v>
      </c>
    </row>
    <row r="419" spans="1:3" x14ac:dyDescent="0.25">
      <c r="A419" t="s">
        <v>270</v>
      </c>
      <c r="B419">
        <v>66</v>
      </c>
      <c r="C419" t="s">
        <v>437</v>
      </c>
    </row>
    <row r="421" spans="1:3" x14ac:dyDescent="0.25">
      <c r="A421" t="s">
        <v>271</v>
      </c>
    </row>
    <row r="423" spans="1:3" x14ac:dyDescent="0.25">
      <c r="B423" t="s">
        <v>256</v>
      </c>
      <c r="C423" t="s">
        <v>258</v>
      </c>
    </row>
    <row r="424" spans="1:3" x14ac:dyDescent="0.25">
      <c r="A424" t="s">
        <v>272</v>
      </c>
      <c r="B424">
        <v>61</v>
      </c>
      <c r="C424" t="s">
        <v>503</v>
      </c>
    </row>
    <row r="425" spans="1:3" x14ac:dyDescent="0.25">
      <c r="A425" t="s">
        <v>273</v>
      </c>
      <c r="B425">
        <v>59</v>
      </c>
      <c r="C425" t="s">
        <v>504</v>
      </c>
    </row>
    <row r="427" spans="1:3" x14ac:dyDescent="0.25">
      <c r="A427" t="s">
        <v>274</v>
      </c>
    </row>
    <row r="428" spans="1:3" x14ac:dyDescent="0.25">
      <c r="A428" s="3"/>
    </row>
    <row r="429" spans="1:3" x14ac:dyDescent="0.25">
      <c r="A429" t="s">
        <v>275</v>
      </c>
      <c r="B429" t="s">
        <v>256</v>
      </c>
      <c r="C429" t="s">
        <v>258</v>
      </c>
    </row>
    <row r="430" spans="1:3" x14ac:dyDescent="0.25">
      <c r="A430" s="1" t="s">
        <v>276</v>
      </c>
      <c r="B430">
        <v>33</v>
      </c>
      <c r="C430" t="s">
        <v>505</v>
      </c>
    </row>
    <row r="431" spans="1:3" x14ac:dyDescent="0.25">
      <c r="A431" s="1">
        <v>44105</v>
      </c>
      <c r="B431">
        <v>16</v>
      </c>
      <c r="C431" t="s">
        <v>446</v>
      </c>
    </row>
    <row r="432" spans="1:3" x14ac:dyDescent="0.25">
      <c r="A432" s="1" t="s">
        <v>277</v>
      </c>
      <c r="B432">
        <v>30</v>
      </c>
      <c r="C432" t="s">
        <v>506</v>
      </c>
    </row>
    <row r="433" spans="1:3" x14ac:dyDescent="0.25">
      <c r="A433" t="s">
        <v>278</v>
      </c>
      <c r="B433">
        <v>26</v>
      </c>
      <c r="C433" t="s">
        <v>318</v>
      </c>
    </row>
    <row r="434" spans="1:3" x14ac:dyDescent="0.25">
      <c r="A434" t="s">
        <v>279</v>
      </c>
      <c r="B434">
        <v>15</v>
      </c>
      <c r="C434" t="s">
        <v>447</v>
      </c>
    </row>
    <row r="436" spans="1:3" x14ac:dyDescent="0.25">
      <c r="A436" t="s">
        <v>280</v>
      </c>
    </row>
    <row r="438" spans="1:3" x14ac:dyDescent="0.25">
      <c r="A438" t="s">
        <v>257</v>
      </c>
      <c r="B438" t="s">
        <v>281</v>
      </c>
      <c r="C438" t="s">
        <v>258</v>
      </c>
    </row>
    <row r="439" spans="1:3" x14ac:dyDescent="0.25">
      <c r="A439">
        <v>0</v>
      </c>
      <c r="B439">
        <v>17</v>
      </c>
      <c r="C439" t="s">
        <v>319</v>
      </c>
    </row>
    <row r="440" spans="1:3" x14ac:dyDescent="0.25">
      <c r="A440">
        <v>1</v>
      </c>
      <c r="B440">
        <v>16</v>
      </c>
      <c r="C440" t="s">
        <v>263</v>
      </c>
    </row>
    <row r="441" spans="1:3" x14ac:dyDescent="0.25">
      <c r="A441">
        <v>2</v>
      </c>
      <c r="B441">
        <v>19</v>
      </c>
      <c r="C441" t="s">
        <v>320</v>
      </c>
    </row>
    <row r="442" spans="1:3" x14ac:dyDescent="0.25">
      <c r="A442">
        <v>3</v>
      </c>
      <c r="B442">
        <v>18</v>
      </c>
      <c r="C442" t="s">
        <v>284</v>
      </c>
    </row>
    <row r="443" spans="1:3" x14ac:dyDescent="0.25">
      <c r="A443">
        <v>4</v>
      </c>
      <c r="B443">
        <v>19</v>
      </c>
      <c r="C443" t="s">
        <v>320</v>
      </c>
    </row>
    <row r="444" spans="1:3" x14ac:dyDescent="0.25">
      <c r="A444">
        <v>5</v>
      </c>
      <c r="B444">
        <v>15</v>
      </c>
      <c r="C444" t="s">
        <v>321</v>
      </c>
    </row>
    <row r="445" spans="1:3" x14ac:dyDescent="0.25">
      <c r="A445">
        <v>6</v>
      </c>
      <c r="B445">
        <v>19</v>
      </c>
      <c r="C445" t="s">
        <v>320</v>
      </c>
    </row>
    <row r="446" spans="1:3" x14ac:dyDescent="0.25">
      <c r="A446">
        <v>7</v>
      </c>
      <c r="B446">
        <v>15</v>
      </c>
      <c r="C446" t="s">
        <v>321</v>
      </c>
    </row>
    <row r="447" spans="1:3" x14ac:dyDescent="0.25">
      <c r="A447">
        <v>8</v>
      </c>
      <c r="B447">
        <v>14</v>
      </c>
      <c r="C447" t="s">
        <v>323</v>
      </c>
    </row>
    <row r="448" spans="1:3" x14ac:dyDescent="0.25">
      <c r="A448">
        <v>9</v>
      </c>
      <c r="B448">
        <v>19</v>
      </c>
      <c r="C448" t="s">
        <v>320</v>
      </c>
    </row>
    <row r="449" spans="1:3" x14ac:dyDescent="0.25">
      <c r="A449">
        <v>10</v>
      </c>
      <c r="B449">
        <v>16</v>
      </c>
      <c r="C449" t="s">
        <v>263</v>
      </c>
    </row>
    <row r="450" spans="1:3" x14ac:dyDescent="0.25">
      <c r="A450">
        <v>11</v>
      </c>
      <c r="B450">
        <v>20</v>
      </c>
      <c r="C450" t="s">
        <v>313</v>
      </c>
    </row>
    <row r="451" spans="1:3" x14ac:dyDescent="0.25">
      <c r="A451">
        <v>12</v>
      </c>
      <c r="B451">
        <v>17</v>
      </c>
      <c r="C451" t="s">
        <v>319</v>
      </c>
    </row>
    <row r="452" spans="1:3" x14ac:dyDescent="0.25">
      <c r="A452">
        <v>13</v>
      </c>
      <c r="B452">
        <v>19</v>
      </c>
      <c r="C452" t="s">
        <v>320</v>
      </c>
    </row>
    <row r="453" spans="1:3" x14ac:dyDescent="0.25">
      <c r="A453">
        <v>14</v>
      </c>
      <c r="B453">
        <v>20</v>
      </c>
      <c r="C453" t="s">
        <v>313</v>
      </c>
    </row>
    <row r="454" spans="1:3" x14ac:dyDescent="0.25">
      <c r="A454">
        <v>15</v>
      </c>
      <c r="B454">
        <v>18</v>
      </c>
      <c r="C454" t="s">
        <v>284</v>
      </c>
    </row>
    <row r="455" spans="1:3" x14ac:dyDescent="0.25">
      <c r="A455">
        <v>16</v>
      </c>
      <c r="B455">
        <v>17</v>
      </c>
      <c r="C455" t="s">
        <v>319</v>
      </c>
    </row>
    <row r="456" spans="1:3" x14ac:dyDescent="0.25">
      <c r="A456">
        <v>17</v>
      </c>
      <c r="B456">
        <v>17</v>
      </c>
      <c r="C456" t="s">
        <v>319</v>
      </c>
    </row>
    <row r="457" spans="1:3" x14ac:dyDescent="0.25">
      <c r="A457">
        <v>18</v>
      </c>
      <c r="B457">
        <v>18</v>
      </c>
      <c r="C457" t="s">
        <v>284</v>
      </c>
    </row>
    <row r="458" spans="1:3" x14ac:dyDescent="0.25">
      <c r="A458">
        <v>19</v>
      </c>
      <c r="B458">
        <v>18</v>
      </c>
      <c r="C458" t="s">
        <v>284</v>
      </c>
    </row>
    <row r="459" spans="1:3" x14ac:dyDescent="0.25">
      <c r="A459">
        <v>20</v>
      </c>
      <c r="B459">
        <v>19</v>
      </c>
      <c r="C459" t="s">
        <v>320</v>
      </c>
    </row>
    <row r="460" spans="1:3" x14ac:dyDescent="0.25">
      <c r="A460">
        <v>21</v>
      </c>
      <c r="B460">
        <v>17</v>
      </c>
      <c r="C460" t="s">
        <v>319</v>
      </c>
    </row>
    <row r="461" spans="1:3" x14ac:dyDescent="0.25">
      <c r="A461">
        <v>22</v>
      </c>
      <c r="B461">
        <v>19</v>
      </c>
      <c r="C461" t="s">
        <v>320</v>
      </c>
    </row>
    <row r="462" spans="1:3" x14ac:dyDescent="0.25">
      <c r="A462">
        <v>23</v>
      </c>
      <c r="B462">
        <v>19</v>
      </c>
      <c r="C462" t="s">
        <v>320</v>
      </c>
    </row>
    <row r="463" spans="1:3" x14ac:dyDescent="0.25">
      <c r="A463" t="s">
        <v>257</v>
      </c>
      <c r="B463" t="s">
        <v>281</v>
      </c>
      <c r="C463" t="s">
        <v>258</v>
      </c>
    </row>
    <row r="464" spans="1:3" x14ac:dyDescent="0.25">
      <c r="A464">
        <v>24</v>
      </c>
      <c r="B464">
        <v>18</v>
      </c>
      <c r="C464" t="s">
        <v>284</v>
      </c>
    </row>
    <row r="465" spans="1:3" x14ac:dyDescent="0.25">
      <c r="A465">
        <v>25</v>
      </c>
      <c r="B465">
        <v>19</v>
      </c>
      <c r="C465" t="s">
        <v>320</v>
      </c>
    </row>
    <row r="466" spans="1:3" x14ac:dyDescent="0.25">
      <c r="A466">
        <v>26</v>
      </c>
      <c r="B466">
        <v>15</v>
      </c>
      <c r="C466" t="s">
        <v>321</v>
      </c>
    </row>
    <row r="467" spans="1:3" x14ac:dyDescent="0.25">
      <c r="A467">
        <v>27</v>
      </c>
      <c r="B467">
        <v>13</v>
      </c>
      <c r="C467" t="s">
        <v>335</v>
      </c>
    </row>
    <row r="468" spans="1:3" x14ac:dyDescent="0.25">
      <c r="A468">
        <v>28</v>
      </c>
      <c r="B468">
        <v>14</v>
      </c>
      <c r="C468" t="s">
        <v>323</v>
      </c>
    </row>
    <row r="469" spans="1:3" x14ac:dyDescent="0.25">
      <c r="A469">
        <v>29</v>
      </c>
      <c r="B469">
        <v>17</v>
      </c>
      <c r="C469" t="s">
        <v>319</v>
      </c>
    </row>
    <row r="470" spans="1:3" x14ac:dyDescent="0.25">
      <c r="A470">
        <v>30</v>
      </c>
      <c r="B470">
        <v>16</v>
      </c>
      <c r="C470" t="s">
        <v>263</v>
      </c>
    </row>
    <row r="471" spans="1:3" x14ac:dyDescent="0.25">
      <c r="A471">
        <v>31</v>
      </c>
      <c r="B471">
        <v>17</v>
      </c>
      <c r="C471" t="s">
        <v>319</v>
      </c>
    </row>
    <row r="472" spans="1:3" x14ac:dyDescent="0.25">
      <c r="A472">
        <v>32</v>
      </c>
      <c r="B472">
        <v>14</v>
      </c>
      <c r="C472" t="s">
        <v>323</v>
      </c>
    </row>
    <row r="473" spans="1:3" x14ac:dyDescent="0.25">
      <c r="A473">
        <v>33</v>
      </c>
      <c r="B473">
        <v>18</v>
      </c>
      <c r="C473" t="s">
        <v>284</v>
      </c>
    </row>
    <row r="474" spans="1:3" x14ac:dyDescent="0.25">
      <c r="A474">
        <v>34</v>
      </c>
      <c r="B474">
        <v>19</v>
      </c>
      <c r="C474" t="s">
        <v>320</v>
      </c>
    </row>
    <row r="475" spans="1:3" x14ac:dyDescent="0.25">
      <c r="A475">
        <v>35</v>
      </c>
      <c r="B475">
        <v>19</v>
      </c>
      <c r="C475" t="s">
        <v>320</v>
      </c>
    </row>
    <row r="476" spans="1:3" x14ac:dyDescent="0.25">
      <c r="A476">
        <v>36</v>
      </c>
      <c r="B476">
        <v>18</v>
      </c>
      <c r="C476" t="s">
        <v>284</v>
      </c>
    </row>
    <row r="477" spans="1:3" x14ac:dyDescent="0.25">
      <c r="A477">
        <v>37</v>
      </c>
      <c r="B477">
        <v>16</v>
      </c>
      <c r="C477" t="s">
        <v>263</v>
      </c>
    </row>
    <row r="478" spans="1:3" x14ac:dyDescent="0.25">
      <c r="A478">
        <v>38</v>
      </c>
      <c r="B478">
        <v>18</v>
      </c>
      <c r="C478" t="s">
        <v>284</v>
      </c>
    </row>
    <row r="479" spans="1:3" x14ac:dyDescent="0.25">
      <c r="A479">
        <v>39</v>
      </c>
      <c r="B479">
        <v>19</v>
      </c>
      <c r="C479" t="s">
        <v>320</v>
      </c>
    </row>
    <row r="480" spans="1:3" x14ac:dyDescent="0.25">
      <c r="A480">
        <v>40</v>
      </c>
      <c r="B480">
        <v>18</v>
      </c>
      <c r="C480" t="s">
        <v>284</v>
      </c>
    </row>
    <row r="481" spans="1:3" x14ac:dyDescent="0.25">
      <c r="A481">
        <v>41</v>
      </c>
      <c r="B481">
        <v>17</v>
      </c>
      <c r="C481" t="s">
        <v>319</v>
      </c>
    </row>
    <row r="482" spans="1:3" x14ac:dyDescent="0.25">
      <c r="A482">
        <v>42</v>
      </c>
      <c r="B482">
        <v>18</v>
      </c>
      <c r="C482" t="s">
        <v>284</v>
      </c>
    </row>
    <row r="483" spans="1:3" hidden="1" x14ac:dyDescent="0.25">
      <c r="A483">
        <v>43</v>
      </c>
      <c r="B483">
        <v>18</v>
      </c>
      <c r="C483" t="s">
        <v>284</v>
      </c>
    </row>
    <row r="484" spans="1:3" hidden="1" x14ac:dyDescent="0.25">
      <c r="A484">
        <v>44</v>
      </c>
      <c r="B484">
        <v>17</v>
      </c>
      <c r="C484" t="s">
        <v>319</v>
      </c>
    </row>
    <row r="485" spans="1:3" hidden="1" x14ac:dyDescent="0.25">
      <c r="A485">
        <v>45</v>
      </c>
      <c r="B485">
        <v>17</v>
      </c>
      <c r="C485" t="s">
        <v>319</v>
      </c>
    </row>
    <row r="486" spans="1:3" hidden="1" x14ac:dyDescent="0.25">
      <c r="A486" t="s">
        <v>507</v>
      </c>
    </row>
    <row r="487" spans="1:3" hidden="1" x14ac:dyDescent="0.25">
      <c r="A487" t="s">
        <v>0</v>
      </c>
    </row>
    <row r="488" spans="1:3" hidden="1" x14ac:dyDescent="0.25">
      <c r="A488" t="s">
        <v>508</v>
      </c>
    </row>
    <row r="489" spans="1:3" hidden="1" x14ac:dyDescent="0.25">
      <c r="A489" t="s">
        <v>509</v>
      </c>
    </row>
    <row r="490" spans="1:3" hidden="1" x14ac:dyDescent="0.25">
      <c r="A490" t="s">
        <v>290</v>
      </c>
    </row>
    <row r="491" spans="1:3" hidden="1" x14ac:dyDescent="0.25">
      <c r="A491" t="s">
        <v>291</v>
      </c>
    </row>
    <row r="492" spans="1:3" hidden="1" x14ac:dyDescent="0.25">
      <c r="A492" t="s">
        <v>292</v>
      </c>
    </row>
    <row r="493" spans="1:3" hidden="1" x14ac:dyDescent="0.25">
      <c r="A493" t="s">
        <v>251</v>
      </c>
    </row>
    <row r="494" spans="1:3" hidden="1" x14ac:dyDescent="0.25">
      <c r="A494" t="s">
        <v>293</v>
      </c>
    </row>
    <row r="495" spans="1:3" hidden="1" x14ac:dyDescent="0.25">
      <c r="A495" t="s">
        <v>294</v>
      </c>
    </row>
    <row r="496" spans="1:3" hidden="1" x14ac:dyDescent="0.25">
      <c r="A496" t="s">
        <v>295</v>
      </c>
    </row>
    <row r="497" spans="1:1" hidden="1" x14ac:dyDescent="0.25">
      <c r="A497" t="s">
        <v>296</v>
      </c>
    </row>
    <row r="498" spans="1:1" hidden="1" x14ac:dyDescent="0.25">
      <c r="A498" t="s">
        <v>297</v>
      </c>
    </row>
    <row r="499" spans="1:1" hidden="1" x14ac:dyDescent="0.25">
      <c r="A499" t="s">
        <v>298</v>
      </c>
    </row>
    <row r="500" spans="1:1" hidden="1" x14ac:dyDescent="0.25"/>
    <row r="501" spans="1:1" hidden="1" x14ac:dyDescent="0.25"/>
    <row r="502" spans="1:1" hidden="1" x14ac:dyDescent="0.25">
      <c r="A502" t="s">
        <v>299</v>
      </c>
    </row>
    <row r="503" spans="1:1" hidden="1" x14ac:dyDescent="0.25">
      <c r="A503" t="s">
        <v>300</v>
      </c>
    </row>
    <row r="504" spans="1:1" hidden="1" x14ac:dyDescent="0.25">
      <c r="A504" t="s">
        <v>301</v>
      </c>
    </row>
    <row r="505" spans="1:1" hidden="1" x14ac:dyDescent="0.25">
      <c r="A505" t="s">
        <v>302</v>
      </c>
    </row>
    <row r="506" spans="1:1" hidden="1" x14ac:dyDescent="0.25"/>
    <row r="507" spans="1:1" hidden="1" x14ac:dyDescent="0.25"/>
    <row r="508" spans="1:1" hidden="1" x14ac:dyDescent="0.25">
      <c r="A508" t="s">
        <v>303</v>
      </c>
    </row>
    <row r="509" spans="1:1" hidden="1" x14ac:dyDescent="0.25">
      <c r="A509" t="s">
        <v>304</v>
      </c>
    </row>
    <row r="510" spans="1:1" x14ac:dyDescent="0.25">
      <c r="A510" t="s">
        <v>510</v>
      </c>
    </row>
    <row r="511" spans="1:1" x14ac:dyDescent="0.25">
      <c r="A511" t="s">
        <v>305</v>
      </c>
    </row>
    <row r="512" spans="1:1" x14ac:dyDescent="0.25">
      <c r="A512" t="s">
        <v>306</v>
      </c>
    </row>
    <row r="513" spans="1:1" x14ac:dyDescent="0.25">
      <c r="A513" t="s">
        <v>307</v>
      </c>
    </row>
    <row r="514" spans="1:1" x14ac:dyDescent="0.25">
      <c r="A514" t="s">
        <v>308</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7"/>
  <sheetViews>
    <sheetView zoomScaleNormal="100" workbookViewId="0">
      <selection activeCell="O2" sqref="O2"/>
    </sheetView>
  </sheetViews>
  <sheetFormatPr baseColWidth="10" defaultRowHeight="15" x14ac:dyDescent="0.25"/>
  <cols>
    <col min="1" max="1" width="14.85546875" style="5" bestFit="1" customWidth="1"/>
    <col min="2" max="11" width="14.140625" style="5" customWidth="1"/>
    <col min="12" max="12" width="14.140625" style="8" customWidth="1"/>
    <col min="13" max="14" width="14.140625" style="5" customWidth="1"/>
    <col min="15" max="15" width="18.85546875" style="5" customWidth="1"/>
    <col min="16" max="16384" width="11.42578125" style="5"/>
  </cols>
  <sheetData>
    <row r="1" spans="1:18" x14ac:dyDescent="0.25">
      <c r="A1" s="4" t="s">
        <v>336</v>
      </c>
      <c r="B1" s="5" t="s">
        <v>337</v>
      </c>
      <c r="C1" s="5" t="s">
        <v>338</v>
      </c>
      <c r="D1" s="5" t="s">
        <v>339</v>
      </c>
      <c r="E1" s="5" t="s">
        <v>340</v>
      </c>
      <c r="F1" s="5" t="s">
        <v>341</v>
      </c>
      <c r="G1" s="5" t="s">
        <v>342</v>
      </c>
      <c r="H1" s="5" t="s">
        <v>343</v>
      </c>
      <c r="I1" s="5" t="s">
        <v>344</v>
      </c>
      <c r="J1" s="5" t="s">
        <v>345</v>
      </c>
      <c r="K1" s="5" t="s">
        <v>346</v>
      </c>
      <c r="L1" s="5" t="s">
        <v>347</v>
      </c>
      <c r="M1" s="5" t="s">
        <v>348</v>
      </c>
      <c r="N1" s="5" t="s">
        <v>349</v>
      </c>
      <c r="O1" s="5" t="s">
        <v>350</v>
      </c>
      <c r="P1"/>
      <c r="Q1" t="s">
        <v>31</v>
      </c>
      <c r="R1">
        <f>_xlfn.PERCENTILE.INC(K2:K47,0.75)</f>
        <v>1093.75</v>
      </c>
    </row>
    <row r="2" spans="1:18" x14ac:dyDescent="0.25">
      <c r="A2" s="5">
        <v>0</v>
      </c>
      <c r="B2" s="5">
        <f>+VLOOKUP($A2,'CG20'!$A$364:$B$440,2,FALSE)</f>
        <v>3</v>
      </c>
      <c r="C2" s="5">
        <f>+VLOOKUP($A2,'CG20'!$A$436:$B$500,2,FALSE)</f>
        <v>17</v>
      </c>
      <c r="D2" s="6">
        <f>+B2*0.6/20+C2*0.4/20</f>
        <v>0.43000000000000005</v>
      </c>
      <c r="E2" s="5">
        <f>+VLOOKUP($A2,'CG50'!$A$364:$B$440,2,FALSE)</f>
        <v>9</v>
      </c>
      <c r="F2" s="5">
        <f>+VLOOKUP($A2,'CG50'!$A$436:$B$500,2,FALSE)</f>
        <v>41</v>
      </c>
      <c r="G2" s="6">
        <f>+E2*0.6/50+F2*0.4/50</f>
        <v>0.43600000000000005</v>
      </c>
      <c r="H2" s="5">
        <f>+VLOOKUP($A2,'CG100'!$A$364:$B$440,2,FALSE)</f>
        <v>13</v>
      </c>
      <c r="I2" s="5">
        <f>+VLOOKUP($A2,'CG100'!$A$436:$B$500,2,FALSE)</f>
        <v>87</v>
      </c>
      <c r="J2" s="6">
        <f>+H2*0.6/100+I2*0.4/100</f>
        <v>0.42600000000000005</v>
      </c>
      <c r="K2" s="4">
        <f>+VLOOKUP($A2,HIST!$A:$C,2,FALSE)</f>
        <v>1007</v>
      </c>
      <c r="L2" s="7">
        <f>+VLOOKUP($A2,HIST!$A:$C,3,FALSE)</f>
        <v>46225</v>
      </c>
      <c r="M2" s="4">
        <f t="shared" ref="M2:M47" ca="1" si="0">IF(L2="","",TODAY()-L2)</f>
        <v>5</v>
      </c>
      <c r="N2" t="str">
        <f>IF(K2="","",IF(K2&gt;=R1,"Caliente",IF(K2&lt;=R2,"Frio","Medio")))</f>
        <v>Medio</v>
      </c>
      <c r="O2" t="str">
        <f ca="1">IF(N2="","",IF(M2&gt;=R3,N2&amp;" atrasado",N2&amp;" reciente"))</f>
        <v>Medio reciente</v>
      </c>
      <c r="P2"/>
      <c r="Q2" t="s">
        <v>30</v>
      </c>
      <c r="R2">
        <f>_xlfn.PERCENTILE.INC(K2:K47,0.25)</f>
        <v>990.5</v>
      </c>
    </row>
    <row r="3" spans="1:18" x14ac:dyDescent="0.25">
      <c r="A3" s="5">
        <v>1</v>
      </c>
      <c r="B3" s="5">
        <f>+VLOOKUP($A3,'CG20'!$A$364:$B$440,2,FALSE)</f>
        <v>4</v>
      </c>
      <c r="C3" s="5">
        <f>+VLOOKUP($A3,'CG20'!$A$436:$B$500,2,FALSE)</f>
        <v>16</v>
      </c>
      <c r="D3" s="6">
        <f t="shared" ref="D3:D47" si="1">+B3*0.6/20+C3*0.4/20</f>
        <v>0.44</v>
      </c>
      <c r="E3" s="5">
        <f>+VLOOKUP($A3,'CG50'!$A$364:$B$440,2,FALSE)</f>
        <v>7</v>
      </c>
      <c r="F3" s="5">
        <f>+VLOOKUP($A3,'CG50'!$A$436:$B$500,2,FALSE)</f>
        <v>43</v>
      </c>
      <c r="G3" s="6">
        <f t="shared" ref="G3:G47" si="2">+E3*0.6/50+F3*0.4/50</f>
        <v>0.42799999999999999</v>
      </c>
      <c r="H3" s="5">
        <f>+VLOOKUP($A3,'CG100'!$A$364:$B$440,2,FALSE)</f>
        <v>10</v>
      </c>
      <c r="I3" s="5">
        <f>+VLOOKUP($A3,'CG100'!$A$436:$B$500,2,FALSE)</f>
        <v>90</v>
      </c>
      <c r="J3" s="6">
        <f t="shared" ref="J3:J47" si="3">+H3*0.6/100+I3*0.4/100</f>
        <v>0.42</v>
      </c>
      <c r="K3" s="4">
        <f>+VLOOKUP(A3,HIST!$A:$C,2,FALSE)</f>
        <v>1052</v>
      </c>
      <c r="L3" s="7">
        <f>+VLOOKUP($A3,HIST!$A:$C,3,FALSE)</f>
        <v>46225</v>
      </c>
      <c r="M3" s="4">
        <f t="shared" ca="1" si="0"/>
        <v>5</v>
      </c>
      <c r="N3" t="str">
        <f>IF(K3="","",IF(K3&gt;=R1,"Caliente",IF(K3&lt;=R2,"Frio","Medio")))</f>
        <v>Medio</v>
      </c>
      <c r="O3" t="str">
        <f ca="1">IF(N3="","",IF(M3&gt;=R3,N3&amp;" atrasado",N3&amp;" reciente"))</f>
        <v>Medio reciente</v>
      </c>
      <c r="P3"/>
      <c r="Q3" t="s">
        <v>29</v>
      </c>
      <c r="R3">
        <f ca="1">_xlfn.PERCENTILE.INC(M2:M47,0.8)</f>
        <v>11</v>
      </c>
    </row>
    <row r="4" spans="1:18" x14ac:dyDescent="0.25">
      <c r="A4" s="5">
        <v>2</v>
      </c>
      <c r="B4" s="5">
        <f>+VLOOKUP($A4,'CG20'!$A$364:$B$440,2,FALSE)</f>
        <v>1</v>
      </c>
      <c r="C4" s="5">
        <f>+VLOOKUP($A4,'CG20'!$A$436:$B$500,2,FALSE)</f>
        <v>19</v>
      </c>
      <c r="D4" s="6">
        <f t="shared" si="1"/>
        <v>0.41000000000000003</v>
      </c>
      <c r="E4" s="5">
        <f>+VLOOKUP($A4,'CG50'!$A$364:$B$440,2,FALSE)</f>
        <v>5</v>
      </c>
      <c r="F4" s="5">
        <f>+VLOOKUP($A4,'CG50'!$A$436:$B$500,2,FALSE)</f>
        <v>45</v>
      </c>
      <c r="G4" s="6">
        <f t="shared" si="2"/>
        <v>0.42</v>
      </c>
      <c r="H4" s="5">
        <f>+VLOOKUP($A4,'CG100'!$A$364:$B$440,2,FALSE)</f>
        <v>12</v>
      </c>
      <c r="I4" s="5">
        <f>+VLOOKUP($A4,'CG100'!$A$436:$B$500,2,FALSE)</f>
        <v>88</v>
      </c>
      <c r="J4" s="6">
        <f t="shared" si="3"/>
        <v>0.42400000000000004</v>
      </c>
      <c r="K4" s="4">
        <f>+VLOOKUP(A4,HIST!$A:$C,2,FALSE)</f>
        <v>1083</v>
      </c>
      <c r="L4" s="7">
        <f>+VLOOKUP($A4,HIST!$A:$C,3,FALSE)</f>
        <v>46225</v>
      </c>
      <c r="M4" s="4">
        <f t="shared" ca="1" si="0"/>
        <v>5</v>
      </c>
      <c r="N4" t="str">
        <f>IF(K4="","",IF(K4&gt;=R1,"Caliente",IF(K4&lt;=R2,"Frio","Medio")))</f>
        <v>Medio</v>
      </c>
      <c r="O4" t="str">
        <f ca="1">IF(N4="","",IF(M4&gt;=R3,N4&amp;" atrasado",N4&amp;" reciente"))</f>
        <v>Medio reciente</v>
      </c>
      <c r="P4"/>
      <c r="Q4"/>
      <c r="R4"/>
    </row>
    <row r="5" spans="1:18" x14ac:dyDescent="0.25">
      <c r="A5" s="5">
        <v>3</v>
      </c>
      <c r="B5" s="5">
        <f>+VLOOKUP($A5,'CG20'!$A$364:$B$440,2,FALSE)</f>
        <v>2</v>
      </c>
      <c r="C5" s="5">
        <f>+VLOOKUP($A5,'CG20'!$A$436:$B$500,2,FALSE)</f>
        <v>18</v>
      </c>
      <c r="D5" s="6">
        <f t="shared" si="1"/>
        <v>0.42</v>
      </c>
      <c r="E5" s="5">
        <f>+VLOOKUP($A5,'CG50'!$A$364:$B$440,2,FALSE)</f>
        <v>5</v>
      </c>
      <c r="F5" s="5">
        <f>+VLOOKUP($A5,'CG50'!$A$436:$B$500,2,FALSE)</f>
        <v>45</v>
      </c>
      <c r="G5" s="6">
        <f t="shared" si="2"/>
        <v>0.42</v>
      </c>
      <c r="H5" s="5">
        <f>+VLOOKUP($A5,'CG100'!$A$364:$B$440,2,FALSE)</f>
        <v>9</v>
      </c>
      <c r="I5" s="5">
        <f>+VLOOKUP($A5,'CG100'!$A$436:$B$500,2,FALSE)</f>
        <v>91</v>
      </c>
      <c r="J5" s="6">
        <f t="shared" si="3"/>
        <v>0.41799999999999998</v>
      </c>
      <c r="K5" s="4">
        <f>+VLOOKUP(A5,HIST!$A:$C,2,FALSE)</f>
        <v>964</v>
      </c>
      <c r="L5" s="7">
        <f>+VLOOKUP($A5,HIST!$A:$C,3,FALSE)</f>
        <v>46219</v>
      </c>
      <c r="M5" s="4">
        <f t="shared" ca="1" si="0"/>
        <v>11</v>
      </c>
      <c r="N5" t="str">
        <f>IF(K5="","",IF(K5&gt;=R1,"Caliente",IF(K5&lt;=R2,"Frio","Medio")))</f>
        <v>Frio</v>
      </c>
      <c r="O5" t="str">
        <f ca="1">IF(N5="","",IF(M5&gt;=R3,N5&amp;" atrasado",N5&amp;" reciente"))</f>
        <v>Frio atrasado</v>
      </c>
      <c r="P5"/>
      <c r="Q5"/>
      <c r="R5"/>
    </row>
    <row r="6" spans="1:18" x14ac:dyDescent="0.25">
      <c r="A6" s="5">
        <v>4</v>
      </c>
      <c r="B6" s="5">
        <f>+VLOOKUP($A6,'CG20'!$A$364:$B$440,2,FALSE)</f>
        <v>1</v>
      </c>
      <c r="C6" s="5">
        <f>+VLOOKUP($A6,'CG20'!$A$436:$B$500,2,FALSE)</f>
        <v>19</v>
      </c>
      <c r="D6" s="6">
        <f t="shared" si="1"/>
        <v>0.41000000000000003</v>
      </c>
      <c r="E6" s="5">
        <f>+VLOOKUP($A6,'CG50'!$A$364:$B$440,2,FALSE)</f>
        <v>6</v>
      </c>
      <c r="F6" s="5">
        <f>+VLOOKUP($A6,'CG50'!$A$436:$B$500,2,FALSE)</f>
        <v>44</v>
      </c>
      <c r="G6" s="6">
        <f t="shared" si="2"/>
        <v>0.42400000000000004</v>
      </c>
      <c r="H6" s="5">
        <f>+VLOOKUP($A6,'CG100'!$A$364:$B$440,2,FALSE)</f>
        <v>16</v>
      </c>
      <c r="I6" s="5">
        <f>+VLOOKUP($A6,'CG100'!$A$436:$B$500,2,FALSE)</f>
        <v>84</v>
      </c>
      <c r="J6" s="6">
        <f t="shared" si="3"/>
        <v>0.43200000000000005</v>
      </c>
      <c r="K6" s="4">
        <f>+VLOOKUP(A6,HIST!$A:$C,2,FALSE)</f>
        <v>1025</v>
      </c>
      <c r="L6" s="7">
        <f>+VLOOKUP($A6,HIST!$A:$C,3,FALSE)</f>
        <v>46222</v>
      </c>
      <c r="M6" s="4">
        <f t="shared" ca="1" si="0"/>
        <v>8</v>
      </c>
      <c r="N6" t="str">
        <f>IF(K6="","",IF(K6&gt;=R1,"Caliente",IF(K6&lt;=R2,"Frio","Medio")))</f>
        <v>Medio</v>
      </c>
      <c r="O6" t="str">
        <f ca="1">IF(N6="","",IF(M6&gt;=R3,N6&amp;" atrasado",N6&amp;" reciente"))</f>
        <v>Medio reciente</v>
      </c>
      <c r="P6"/>
      <c r="Q6"/>
      <c r="R6"/>
    </row>
    <row r="7" spans="1:18" x14ac:dyDescent="0.25">
      <c r="A7" s="5">
        <v>5</v>
      </c>
      <c r="B7" s="5">
        <f>+VLOOKUP($A7,'CG20'!$A$364:$B$440,2,FALSE)</f>
        <v>5</v>
      </c>
      <c r="C7" s="5">
        <f>+VLOOKUP($A7,'CG20'!$A$436:$B$500,2,FALSE)</f>
        <v>15</v>
      </c>
      <c r="D7" s="6">
        <f t="shared" si="1"/>
        <v>0.44999999999999996</v>
      </c>
      <c r="E7" s="5">
        <f>+VLOOKUP($A7,'CG50'!$A$364:$B$440,2,FALSE)</f>
        <v>8</v>
      </c>
      <c r="F7" s="5">
        <f>+VLOOKUP($A7,'CG50'!$A$436:$B$500,2,FALSE)</f>
        <v>42</v>
      </c>
      <c r="G7" s="6">
        <f t="shared" si="2"/>
        <v>0.43200000000000005</v>
      </c>
      <c r="H7" s="5">
        <f>+VLOOKUP($A7,'CG100'!$A$364:$B$440,2,FALSE)</f>
        <v>16</v>
      </c>
      <c r="I7" s="5">
        <f>+VLOOKUP($A7,'CG100'!$A$436:$B$500,2,FALSE)</f>
        <v>84</v>
      </c>
      <c r="J7" s="6">
        <f t="shared" si="3"/>
        <v>0.43200000000000005</v>
      </c>
      <c r="K7" s="4">
        <f>+VLOOKUP(A7,HIST!$A:$C,2,FALSE)</f>
        <v>1004</v>
      </c>
      <c r="L7" s="7">
        <f>+VLOOKUP($A7,HIST!$A:$C,3,FALSE)</f>
        <v>46225</v>
      </c>
      <c r="M7" s="4">
        <f t="shared" ca="1" si="0"/>
        <v>5</v>
      </c>
      <c r="N7" t="str">
        <f>IF(K7="","",IF(K7&gt;=R1,"Caliente",IF(K7&lt;=R2,"Frio","Medio")))</f>
        <v>Medio</v>
      </c>
      <c r="O7" t="str">
        <f ca="1">IF(N7="","",IF(M7&gt;=R3,N7&amp;" atrasado",N7&amp;" reciente"))</f>
        <v>Medio reciente</v>
      </c>
      <c r="P7"/>
      <c r="Q7"/>
      <c r="R7"/>
    </row>
    <row r="8" spans="1:18" x14ac:dyDescent="0.25">
      <c r="A8" s="5">
        <v>6</v>
      </c>
      <c r="B8" s="5">
        <f>+VLOOKUP($A8,'CG20'!$A$364:$B$440,2,FALSE)</f>
        <v>1</v>
      </c>
      <c r="C8" s="5">
        <f>+VLOOKUP($A8,'CG20'!$A$436:$B$500,2,FALSE)</f>
        <v>19</v>
      </c>
      <c r="D8" s="6">
        <f t="shared" si="1"/>
        <v>0.41000000000000003</v>
      </c>
      <c r="E8" s="5">
        <f>+VLOOKUP($A8,'CG50'!$A$364:$B$440,2,FALSE)</f>
        <v>9</v>
      </c>
      <c r="F8" s="5">
        <f>+VLOOKUP($A8,'CG50'!$A$436:$B$500,2,FALSE)</f>
        <v>41</v>
      </c>
      <c r="G8" s="6">
        <f t="shared" si="2"/>
        <v>0.43600000000000005</v>
      </c>
      <c r="H8" s="5">
        <f>+VLOOKUP($A8,'CG100'!$A$364:$B$440,2,FALSE)</f>
        <v>14</v>
      </c>
      <c r="I8" s="5">
        <f>+VLOOKUP($A8,'CG100'!$A$436:$B$500,2,FALSE)</f>
        <v>86</v>
      </c>
      <c r="J8" s="6">
        <f t="shared" si="3"/>
        <v>0.42799999999999999</v>
      </c>
      <c r="K8" s="4">
        <f>+VLOOKUP(A8,HIST!$A:$C,2,FALSE)</f>
        <v>1067</v>
      </c>
      <c r="L8" s="7">
        <f>+VLOOKUP($A8,HIST!$A:$C,3,FALSE)</f>
        <v>46225</v>
      </c>
      <c r="M8" s="4">
        <f t="shared" ca="1" si="0"/>
        <v>5</v>
      </c>
      <c r="N8" t="str">
        <f>IF(K8="","",IF(K8&gt;=R1,"Caliente",IF(K8&lt;=R2,"Frio","Medio")))</f>
        <v>Medio</v>
      </c>
      <c r="O8" t="str">
        <f ca="1">IF(N8="","",IF(M8&gt;=R3,N8&amp;" atrasado",N8&amp;" reciente"))</f>
        <v>Medio reciente</v>
      </c>
      <c r="P8"/>
      <c r="Q8"/>
      <c r="R8"/>
    </row>
    <row r="9" spans="1:18" x14ac:dyDescent="0.25">
      <c r="A9" s="5">
        <v>7</v>
      </c>
      <c r="B9" s="5">
        <f>+VLOOKUP($A9,'CG20'!$A$364:$B$440,2,FALSE)</f>
        <v>5</v>
      </c>
      <c r="C9" s="5">
        <f>+VLOOKUP($A9,'CG20'!$A$436:$B$500,2,FALSE)</f>
        <v>15</v>
      </c>
      <c r="D9" s="6">
        <f t="shared" si="1"/>
        <v>0.44999999999999996</v>
      </c>
      <c r="E9" s="5">
        <f>+VLOOKUP($A9,'CG50'!$A$364:$B$440,2,FALSE)</f>
        <v>10</v>
      </c>
      <c r="F9" s="5">
        <f>+VLOOKUP($A9,'CG50'!$A$436:$B$500,2,FALSE)</f>
        <v>40</v>
      </c>
      <c r="G9" s="6">
        <f t="shared" si="2"/>
        <v>0.44</v>
      </c>
      <c r="H9" s="5">
        <f>+VLOOKUP($A9,'CG100'!$A$364:$B$440,2,FALSE)</f>
        <v>15</v>
      </c>
      <c r="I9" s="5">
        <f>+VLOOKUP($A9,'CG100'!$A$436:$B$500,2,FALSE)</f>
        <v>85</v>
      </c>
      <c r="J9" s="6">
        <f t="shared" si="3"/>
        <v>0.43000000000000005</v>
      </c>
      <c r="K9" s="4">
        <f>+VLOOKUP(A9,HIST!$A:$C,2,FALSE)</f>
        <v>982</v>
      </c>
      <c r="L9" s="7">
        <f>+VLOOKUP($A9,HIST!$A:$C,3,FALSE)</f>
        <v>46225</v>
      </c>
      <c r="M9" s="4">
        <f t="shared" ca="1" si="0"/>
        <v>5</v>
      </c>
      <c r="N9" t="str">
        <f>IF(K9="","",IF(K9&gt;=R1,"Caliente",IF(K9&lt;=R2,"Frio","Medio")))</f>
        <v>Frio</v>
      </c>
      <c r="O9" t="str">
        <f ca="1">IF(N9="","",IF(M9&gt;=R3,N9&amp;" atrasado",N9&amp;" reciente"))</f>
        <v>Frio reciente</v>
      </c>
      <c r="P9"/>
      <c r="Q9"/>
      <c r="R9"/>
    </row>
    <row r="10" spans="1:18" x14ac:dyDescent="0.25">
      <c r="A10" s="5">
        <v>8</v>
      </c>
      <c r="B10" s="5">
        <f>+VLOOKUP($A10,'CG20'!$A$364:$B$440,2,FALSE)</f>
        <v>6</v>
      </c>
      <c r="C10" s="5">
        <f>+VLOOKUP($A10,'CG20'!$A$436:$B$500,2,FALSE)</f>
        <v>14</v>
      </c>
      <c r="D10" s="6">
        <f t="shared" si="1"/>
        <v>0.46</v>
      </c>
      <c r="E10" s="5">
        <f>+VLOOKUP($A10,'CG50'!$A$364:$B$440,2,FALSE)</f>
        <v>9</v>
      </c>
      <c r="F10" s="5">
        <f>+VLOOKUP($A10,'CG50'!$A$436:$B$500,2,FALSE)</f>
        <v>41</v>
      </c>
      <c r="G10" s="6">
        <f t="shared" si="2"/>
        <v>0.43600000000000005</v>
      </c>
      <c r="H10" s="5">
        <f>+VLOOKUP($A10,'CG100'!$A$364:$B$440,2,FALSE)</f>
        <v>16</v>
      </c>
      <c r="I10" s="5">
        <f>+VLOOKUP($A10,'CG100'!$A$436:$B$500,2,FALSE)</f>
        <v>84</v>
      </c>
      <c r="J10" s="6">
        <f t="shared" si="3"/>
        <v>0.43200000000000005</v>
      </c>
      <c r="K10" s="4">
        <f>+VLOOKUP(A10,HIST!$A:$C,2,FALSE)</f>
        <v>1058</v>
      </c>
      <c r="L10" s="7">
        <f>+VLOOKUP($A10,HIST!$A:$C,3,FALSE)</f>
        <v>46225</v>
      </c>
      <c r="M10" s="4">
        <f t="shared" ca="1" si="0"/>
        <v>5</v>
      </c>
      <c r="N10" t="str">
        <f>IF(K10="","",IF(K10&gt;=R1,"Caliente",IF(K10&lt;=R2,"Frio","Medio")))</f>
        <v>Medio</v>
      </c>
      <c r="O10" t="str">
        <f ca="1">IF(N10="","",IF(M10&gt;=R3,N10&amp;" atrasado",N10&amp;" reciente"))</f>
        <v>Medio reciente</v>
      </c>
      <c r="P10"/>
      <c r="Q10"/>
      <c r="R10"/>
    </row>
    <row r="11" spans="1:18" x14ac:dyDescent="0.25">
      <c r="A11" s="5">
        <v>9</v>
      </c>
      <c r="B11" s="5">
        <f>+VLOOKUP($A11,'CG20'!$A$364:$B$440,2,FALSE)</f>
        <v>1</v>
      </c>
      <c r="C11" s="5">
        <f>+VLOOKUP($A11,'CG20'!$A$436:$B$500,2,FALSE)</f>
        <v>19</v>
      </c>
      <c r="D11" s="6">
        <f t="shared" si="1"/>
        <v>0.41000000000000003</v>
      </c>
      <c r="E11" s="5">
        <f>+VLOOKUP($A11,'CG50'!$A$364:$B$440,2,FALSE)</f>
        <v>6</v>
      </c>
      <c r="F11" s="5">
        <f>+VLOOKUP($A11,'CG50'!$A$436:$B$500,2,FALSE)</f>
        <v>44</v>
      </c>
      <c r="G11" s="6">
        <f t="shared" si="2"/>
        <v>0.42400000000000004</v>
      </c>
      <c r="H11" s="5">
        <f>+VLOOKUP($A11,'CG100'!$A$364:$B$440,2,FALSE)</f>
        <v>16</v>
      </c>
      <c r="I11" s="5">
        <f>+VLOOKUP($A11,'CG100'!$A$436:$B$500,2,FALSE)</f>
        <v>84</v>
      </c>
      <c r="J11" s="6">
        <f t="shared" si="3"/>
        <v>0.43200000000000005</v>
      </c>
      <c r="K11" s="4">
        <f>+VLOOKUP(A11,HIST!$A:$C,2,FALSE)</f>
        <v>1157</v>
      </c>
      <c r="L11" s="7">
        <f>+VLOOKUP($A11,HIST!$A:$C,3,FALSE)</f>
        <v>46208</v>
      </c>
      <c r="M11" s="4">
        <f t="shared" ca="1" si="0"/>
        <v>22</v>
      </c>
      <c r="N11" t="str">
        <f>IF(K11="","",IF(K11&gt;=R1,"Caliente",IF(K11&lt;=R2,"Frio","Medio")))</f>
        <v>Caliente</v>
      </c>
      <c r="O11" t="str">
        <f ca="1">IF(N11="","",IF(M11&gt;=R3,N11&amp;" atrasado",N11&amp;" reciente"))</f>
        <v>Caliente atrasado</v>
      </c>
      <c r="P11"/>
      <c r="Q11"/>
      <c r="R11"/>
    </row>
    <row r="12" spans="1:18" x14ac:dyDescent="0.25">
      <c r="A12" s="5">
        <v>10</v>
      </c>
      <c r="B12" s="5">
        <f>+VLOOKUP($A12,'CG20'!$A$364:$B$440,2,FALSE)</f>
        <v>4</v>
      </c>
      <c r="C12" s="5">
        <f>+VLOOKUP($A12,'CG20'!$A$436:$B$500,2,FALSE)</f>
        <v>16</v>
      </c>
      <c r="D12" s="6">
        <f t="shared" si="1"/>
        <v>0.44</v>
      </c>
      <c r="E12" s="5">
        <f>+VLOOKUP($A12,'CG50'!$A$364:$B$440,2,FALSE)</f>
        <v>10</v>
      </c>
      <c r="F12" s="5">
        <f>+VLOOKUP($A12,'CG50'!$A$436:$B$500,2,FALSE)</f>
        <v>40</v>
      </c>
      <c r="G12" s="6">
        <f t="shared" si="2"/>
        <v>0.44</v>
      </c>
      <c r="H12" s="5">
        <f>+VLOOKUP($A12,'CG100'!$A$364:$B$440,2,FALSE)</f>
        <v>14</v>
      </c>
      <c r="I12" s="5">
        <f>+VLOOKUP($A12,'CG100'!$A$436:$B$500,2,FALSE)</f>
        <v>86</v>
      </c>
      <c r="J12" s="6">
        <f t="shared" si="3"/>
        <v>0.42799999999999999</v>
      </c>
      <c r="K12" s="4">
        <f>+VLOOKUP(A12,HIST!$A:$C,2,FALSE)</f>
        <v>1074</v>
      </c>
      <c r="L12" s="7">
        <f>+VLOOKUP($A12,HIST!$A:$C,3,FALSE)</f>
        <v>46225</v>
      </c>
      <c r="M12" s="4">
        <f t="shared" ca="1" si="0"/>
        <v>5</v>
      </c>
      <c r="N12" t="str">
        <f>IF(K12="","",IF(K12&gt;=R1,"Caliente",IF(K12&lt;=R2,"Frio","Medio")))</f>
        <v>Medio</v>
      </c>
      <c r="O12" t="str">
        <f ca="1">IF(N12="","",IF(M12&gt;=R3,N12&amp;" atrasado",N12&amp;" reciente"))</f>
        <v>Medio reciente</v>
      </c>
      <c r="P12"/>
      <c r="Q12"/>
      <c r="R12"/>
    </row>
    <row r="13" spans="1:18" x14ac:dyDescent="0.25">
      <c r="A13" s="5">
        <v>11</v>
      </c>
      <c r="B13" s="5">
        <f>+VLOOKUP($A13,'CG20'!$A$364:$B$440,2,FALSE)</f>
        <v>0</v>
      </c>
      <c r="C13" s="5">
        <f>+VLOOKUP($A13,'CG20'!$A$436:$B$500,2,FALSE)</f>
        <v>20</v>
      </c>
      <c r="D13" s="6">
        <f t="shared" si="1"/>
        <v>0.4</v>
      </c>
      <c r="E13" s="5">
        <f>+VLOOKUP($A13,'CG50'!$A$364:$B$440,2,FALSE)</f>
        <v>1</v>
      </c>
      <c r="F13" s="5">
        <f>+VLOOKUP($A13,'CG50'!$A$436:$B$500,2,FALSE)</f>
        <v>49</v>
      </c>
      <c r="G13" s="6">
        <f t="shared" si="2"/>
        <v>0.40400000000000003</v>
      </c>
      <c r="H13" s="5">
        <f>+VLOOKUP($A13,'CG100'!$A$364:$B$440,2,FALSE)</f>
        <v>5</v>
      </c>
      <c r="I13" s="5">
        <f>+VLOOKUP($A13,'CG100'!$A$436:$B$500,2,FALSE)</f>
        <v>95</v>
      </c>
      <c r="J13" s="6">
        <f t="shared" si="3"/>
        <v>0.41000000000000003</v>
      </c>
      <c r="K13" s="4">
        <f>+VLOOKUP(A13,HIST!$A:$C,2,FALSE)</f>
        <v>996</v>
      </c>
      <c r="L13" s="7">
        <f>+VLOOKUP($A13,HIST!$A:$C,3,FALSE)</f>
        <v>46215</v>
      </c>
      <c r="M13" s="4">
        <f t="shared" ca="1" si="0"/>
        <v>15</v>
      </c>
      <c r="N13" t="str">
        <f>IF(K13="","",IF(K13&gt;=R1,"Caliente",IF(K13&lt;=R2,"Frio","Medio")))</f>
        <v>Medio</v>
      </c>
      <c r="O13" t="str">
        <f ca="1">IF(N13="","",IF(M13&gt;=R3,N13&amp;" atrasado",N13&amp;" reciente"))</f>
        <v>Medio atrasado</v>
      </c>
      <c r="P13"/>
      <c r="Q13"/>
      <c r="R13"/>
    </row>
    <row r="14" spans="1:18" x14ac:dyDescent="0.25">
      <c r="A14" s="5">
        <v>12</v>
      </c>
      <c r="B14" s="5">
        <f>+VLOOKUP($A14,'CG20'!$A$364:$B$440,2,FALSE)</f>
        <v>3</v>
      </c>
      <c r="C14" s="5">
        <f>+VLOOKUP($A14,'CG20'!$A$436:$B$500,2,FALSE)</f>
        <v>17</v>
      </c>
      <c r="D14" s="6">
        <f t="shared" si="1"/>
        <v>0.43000000000000005</v>
      </c>
      <c r="E14" s="5">
        <f>+VLOOKUP($A14,'CG50'!$A$364:$B$440,2,FALSE)</f>
        <v>9</v>
      </c>
      <c r="F14" s="5">
        <f>+VLOOKUP($A14,'CG50'!$A$436:$B$500,2,FALSE)</f>
        <v>41</v>
      </c>
      <c r="G14" s="6">
        <f t="shared" si="2"/>
        <v>0.43600000000000005</v>
      </c>
      <c r="H14" s="5">
        <f>+VLOOKUP($A14,'CG100'!$A$364:$B$440,2,FALSE)</f>
        <v>17</v>
      </c>
      <c r="I14" s="5">
        <f>+VLOOKUP($A14,'CG100'!$A$436:$B$500,2,FALSE)</f>
        <v>83</v>
      </c>
      <c r="J14" s="6">
        <f t="shared" si="3"/>
        <v>0.434</v>
      </c>
      <c r="K14" s="4">
        <f>+VLOOKUP(A14,HIST!$A:$C,2,FALSE)</f>
        <v>990</v>
      </c>
      <c r="L14" s="7">
        <f>+VLOOKUP($A14,HIST!$A:$C,3,FALSE)</f>
        <v>46201</v>
      </c>
      <c r="M14" s="4">
        <f t="shared" ca="1" si="0"/>
        <v>29</v>
      </c>
      <c r="N14" t="str">
        <f>IF(K14="","",IF(K14&gt;=R1,"Caliente",IF(K14&lt;=R2,"Frio","Medio")))</f>
        <v>Frio</v>
      </c>
      <c r="O14" t="str">
        <f ca="1">IF(N14="","",IF(M14&gt;=R3,N14&amp;" atrasado",N14&amp;" reciente"))</f>
        <v>Frio atrasado</v>
      </c>
      <c r="P14"/>
      <c r="Q14"/>
      <c r="R14"/>
    </row>
    <row r="15" spans="1:18" x14ac:dyDescent="0.25">
      <c r="A15" s="5">
        <v>13</v>
      </c>
      <c r="B15" s="5">
        <f>+VLOOKUP($A15,'CG20'!$A$364:$B$440,2,FALSE)</f>
        <v>1</v>
      </c>
      <c r="C15" s="5">
        <f>+VLOOKUP($A15,'CG20'!$A$436:$B$500,2,FALSE)</f>
        <v>19</v>
      </c>
      <c r="D15" s="6">
        <f t="shared" si="1"/>
        <v>0.41000000000000003</v>
      </c>
      <c r="E15" s="5">
        <f>+VLOOKUP($A15,'CG50'!$A$364:$B$440,2,FALSE)</f>
        <v>6</v>
      </c>
      <c r="F15" s="5">
        <f>+VLOOKUP($A15,'CG50'!$A$436:$B$500,2,FALSE)</f>
        <v>44</v>
      </c>
      <c r="G15" s="6">
        <f t="shared" si="2"/>
        <v>0.42400000000000004</v>
      </c>
      <c r="H15" s="5">
        <f>+VLOOKUP($A15,'CG100'!$A$364:$B$440,2,FALSE)</f>
        <v>8</v>
      </c>
      <c r="I15" s="5">
        <f>+VLOOKUP($A15,'CG100'!$A$436:$B$500,2,FALSE)</f>
        <v>92</v>
      </c>
      <c r="J15" s="6">
        <f t="shared" si="3"/>
        <v>0.41600000000000004</v>
      </c>
      <c r="K15" s="4">
        <f>+VLOOKUP(A15,HIST!$A:$C,2,FALSE)</f>
        <v>974</v>
      </c>
      <c r="L15" s="7">
        <f>+VLOOKUP($A15,HIST!$A:$C,3,FALSE)</f>
        <v>46187</v>
      </c>
      <c r="M15" s="4">
        <f t="shared" ca="1" si="0"/>
        <v>43</v>
      </c>
      <c r="N15" t="str">
        <f>IF(K15="","",IF(K15&gt;=R1,"Caliente",IF(K15&lt;=R2,"Frio","Medio")))</f>
        <v>Frio</v>
      </c>
      <c r="O15" t="str">
        <f ca="1">IF(N15="","",IF(M15&gt;=R3,N15&amp;" atrasado",N15&amp;" reciente"))</f>
        <v>Frio atrasado</v>
      </c>
      <c r="P15"/>
      <c r="Q15"/>
      <c r="R15"/>
    </row>
    <row r="16" spans="1:18" x14ac:dyDescent="0.25">
      <c r="A16" s="5">
        <v>14</v>
      </c>
      <c r="B16" s="5">
        <f>+VLOOKUP($A16,'CG20'!$A$364:$B$440,2,FALSE)</f>
        <v>0</v>
      </c>
      <c r="C16" s="5">
        <f>+VLOOKUP($A16,'CG20'!$A$436:$B$500,2,FALSE)</f>
        <v>20</v>
      </c>
      <c r="D16" s="6">
        <f t="shared" si="1"/>
        <v>0.4</v>
      </c>
      <c r="E16" s="5">
        <f>+VLOOKUP($A16,'CG50'!$A$364:$B$440,2,FALSE)</f>
        <v>2</v>
      </c>
      <c r="F16" s="5">
        <f>+VLOOKUP($A16,'CG50'!$A$436:$B$500,2,FALSE)</f>
        <v>48</v>
      </c>
      <c r="G16" s="6">
        <f t="shared" si="2"/>
        <v>0.40800000000000008</v>
      </c>
      <c r="H16" s="5">
        <f>+VLOOKUP($A16,'CG100'!$A$364:$B$440,2,FALSE)</f>
        <v>13</v>
      </c>
      <c r="I16" s="5">
        <f>+VLOOKUP($A16,'CG100'!$A$436:$B$500,2,FALSE)</f>
        <v>87</v>
      </c>
      <c r="J16" s="6">
        <f t="shared" si="3"/>
        <v>0.42600000000000005</v>
      </c>
      <c r="K16" s="4">
        <f>+VLOOKUP(A16,HIST!$A:$C,2,FALSE)</f>
        <v>979</v>
      </c>
      <c r="L16" s="7">
        <f>+VLOOKUP($A16,HIST!$A:$C,3,FALSE)</f>
        <v>46222</v>
      </c>
      <c r="M16" s="4">
        <f t="shared" ca="1" si="0"/>
        <v>8</v>
      </c>
      <c r="N16" t="str">
        <f>IF(K16="","",IF(K16&gt;=R1,"Caliente",IF(K16&lt;=R2,"Frio","Medio")))</f>
        <v>Frio</v>
      </c>
      <c r="O16" t="str">
        <f ca="1">IF(N16="","",IF(M16&gt;=R3,N16&amp;" atrasado",N16&amp;" reciente"))</f>
        <v>Frio reciente</v>
      </c>
      <c r="P16"/>
      <c r="Q16"/>
      <c r="R16"/>
    </row>
    <row r="17" spans="1:18" x14ac:dyDescent="0.25">
      <c r="A17" s="5">
        <v>15</v>
      </c>
      <c r="B17" s="5">
        <f>+VLOOKUP($A17,'CG20'!$A$364:$B$440,2,FALSE)</f>
        <v>2</v>
      </c>
      <c r="C17" s="5">
        <f>+VLOOKUP($A17,'CG20'!$A$436:$B$500,2,FALSE)</f>
        <v>18</v>
      </c>
      <c r="D17" s="6">
        <f t="shared" si="1"/>
        <v>0.42</v>
      </c>
      <c r="E17" s="5">
        <f>+VLOOKUP($A17,'CG50'!$A$364:$B$440,2,FALSE)</f>
        <v>8</v>
      </c>
      <c r="F17" s="5">
        <f>+VLOOKUP($A17,'CG50'!$A$436:$B$500,2,FALSE)</f>
        <v>42</v>
      </c>
      <c r="G17" s="6">
        <f t="shared" si="2"/>
        <v>0.43200000000000005</v>
      </c>
      <c r="H17" s="5">
        <f>+VLOOKUP($A17,'CG100'!$A$364:$B$440,2,FALSE)</f>
        <v>11</v>
      </c>
      <c r="I17" s="5">
        <f>+VLOOKUP($A17,'CG100'!$A$436:$B$500,2,FALSE)</f>
        <v>89</v>
      </c>
      <c r="J17" s="6">
        <f t="shared" si="3"/>
        <v>0.42200000000000004</v>
      </c>
      <c r="K17" s="4">
        <f>+VLOOKUP(A17,HIST!$A:$C,2,FALSE)</f>
        <v>1127</v>
      </c>
      <c r="L17" s="7">
        <f>+VLOOKUP($A17,HIST!$A:$C,3,FALSE)</f>
        <v>46211</v>
      </c>
      <c r="M17" s="4">
        <f t="shared" ca="1" si="0"/>
        <v>19</v>
      </c>
      <c r="N17" t="str">
        <f>IF(K17="","",IF(K17&gt;=R1,"Caliente",IF(K17&lt;=R2,"Frio","Medio")))</f>
        <v>Caliente</v>
      </c>
      <c r="O17" t="str">
        <f ca="1">IF(N17="","",IF(M17&gt;=R3,N17&amp;" atrasado",N17&amp;" reciente"))</f>
        <v>Caliente atrasado</v>
      </c>
      <c r="P17"/>
      <c r="Q17"/>
      <c r="R17"/>
    </row>
    <row r="18" spans="1:18" x14ac:dyDescent="0.25">
      <c r="A18" s="5">
        <v>16</v>
      </c>
      <c r="B18" s="5">
        <f>+VLOOKUP($A18,'CG20'!$A$364:$B$440,2,FALSE)</f>
        <v>3</v>
      </c>
      <c r="C18" s="5">
        <f>+VLOOKUP($A18,'CG20'!$A$436:$B$500,2,FALSE)</f>
        <v>17</v>
      </c>
      <c r="D18" s="6">
        <f t="shared" si="1"/>
        <v>0.43000000000000005</v>
      </c>
      <c r="E18" s="5">
        <f>+VLOOKUP($A18,'CG50'!$A$364:$B$440,2,FALSE)</f>
        <v>6</v>
      </c>
      <c r="F18" s="5">
        <f>+VLOOKUP($A18,'CG50'!$A$436:$B$500,2,FALSE)</f>
        <v>44</v>
      </c>
      <c r="G18" s="6">
        <f t="shared" si="2"/>
        <v>0.42400000000000004</v>
      </c>
      <c r="H18" s="5">
        <f>+VLOOKUP($A18,'CG100'!$A$364:$B$440,2,FALSE)</f>
        <v>15</v>
      </c>
      <c r="I18" s="5">
        <f>+VLOOKUP($A18,'CG100'!$A$436:$B$500,2,FALSE)</f>
        <v>85</v>
      </c>
      <c r="J18" s="6">
        <f t="shared" si="3"/>
        <v>0.43000000000000005</v>
      </c>
      <c r="K18" s="4">
        <f>+VLOOKUP(A18,HIST!$A:$C,2,FALSE)</f>
        <v>1078</v>
      </c>
      <c r="L18" s="7">
        <f>+VLOOKUP($A18,HIST!$A:$C,3,FALSE)</f>
        <v>46219</v>
      </c>
      <c r="M18" s="4">
        <f t="shared" ca="1" si="0"/>
        <v>11</v>
      </c>
      <c r="N18" t="str">
        <f>IF(K18="","",IF(K18&gt;=R1,"Caliente",IF(K18&lt;=R2,"Frio","Medio")))</f>
        <v>Medio</v>
      </c>
      <c r="O18" t="str">
        <f ca="1">IF(N18="","",IF(M18&gt;=R3,N18&amp;" atrasado",N18&amp;" reciente"))</f>
        <v>Medio atrasado</v>
      </c>
      <c r="P18"/>
      <c r="Q18"/>
      <c r="R18"/>
    </row>
    <row r="19" spans="1:18" x14ac:dyDescent="0.25">
      <c r="A19" s="5">
        <v>17</v>
      </c>
      <c r="B19" s="5">
        <f>+VLOOKUP($A19,'CG20'!$A$364:$B$440,2,FALSE)</f>
        <v>3</v>
      </c>
      <c r="C19" s="5">
        <f>+VLOOKUP($A19,'CG20'!$A$436:$B$500,2,FALSE)</f>
        <v>17</v>
      </c>
      <c r="D19" s="6">
        <f t="shared" si="1"/>
        <v>0.43000000000000005</v>
      </c>
      <c r="E19" s="5">
        <f>+VLOOKUP($A19,'CG50'!$A$364:$B$440,2,FALSE)</f>
        <v>6</v>
      </c>
      <c r="F19" s="5">
        <f>+VLOOKUP($A19,'CG50'!$A$436:$B$500,2,FALSE)</f>
        <v>44</v>
      </c>
      <c r="G19" s="6">
        <f t="shared" si="2"/>
        <v>0.42400000000000004</v>
      </c>
      <c r="H19" s="5">
        <f>+VLOOKUP($A19,'CG100'!$A$364:$B$440,2,FALSE)</f>
        <v>14</v>
      </c>
      <c r="I19" s="5">
        <f>+VLOOKUP($A19,'CG100'!$A$436:$B$500,2,FALSE)</f>
        <v>86</v>
      </c>
      <c r="J19" s="6">
        <f t="shared" si="3"/>
        <v>0.42799999999999999</v>
      </c>
      <c r="K19" s="4">
        <f>+VLOOKUP(A19,HIST!$A:$C,2,FALSE)</f>
        <v>998</v>
      </c>
      <c r="L19" s="7">
        <f>+VLOOKUP($A19,HIST!$A:$C,3,FALSE)</f>
        <v>46222</v>
      </c>
      <c r="M19" s="4">
        <f t="shared" ca="1" si="0"/>
        <v>8</v>
      </c>
      <c r="N19" t="str">
        <f>IF(K19="","",IF(K19&gt;=R1,"Caliente",IF(K19&lt;=R2,"Frio","Medio")))</f>
        <v>Medio</v>
      </c>
      <c r="O19" t="str">
        <f ca="1">IF(N19="","",IF(M19&gt;=R3,N19&amp;" atrasado",N19&amp;" reciente"))</f>
        <v>Medio reciente</v>
      </c>
      <c r="P19"/>
      <c r="Q19"/>
      <c r="R19"/>
    </row>
    <row r="20" spans="1:18" x14ac:dyDescent="0.25">
      <c r="A20" s="5">
        <v>18</v>
      </c>
      <c r="B20" s="5">
        <f>+VLOOKUP($A20,'CG20'!$A$364:$B$440,2,FALSE)</f>
        <v>2</v>
      </c>
      <c r="C20" s="5">
        <f>+VLOOKUP($A20,'CG20'!$A$436:$B$500,2,FALSE)</f>
        <v>18</v>
      </c>
      <c r="D20" s="6">
        <f t="shared" si="1"/>
        <v>0.42</v>
      </c>
      <c r="E20" s="5">
        <f>+VLOOKUP($A20,'CG50'!$A$364:$B$440,2,FALSE)</f>
        <v>11</v>
      </c>
      <c r="F20" s="5">
        <f>+VLOOKUP($A20,'CG50'!$A$436:$B$500,2,FALSE)</f>
        <v>39</v>
      </c>
      <c r="G20" s="6">
        <f t="shared" si="2"/>
        <v>0.44400000000000006</v>
      </c>
      <c r="H20" s="5">
        <f>+VLOOKUP($A20,'CG100'!$A$364:$B$440,2,FALSE)</f>
        <v>20</v>
      </c>
      <c r="I20" s="5">
        <f>+VLOOKUP($A20,'CG100'!$A$436:$B$500,2,FALSE)</f>
        <v>80</v>
      </c>
      <c r="J20" s="6">
        <f t="shared" si="3"/>
        <v>0.44</v>
      </c>
      <c r="K20" s="4">
        <f>+VLOOKUP(A20,HIST!$A:$C,2,FALSE)</f>
        <v>972</v>
      </c>
      <c r="L20" s="7">
        <f>+VLOOKUP($A20,HIST!$A:$C,3,FALSE)</f>
        <v>46225</v>
      </c>
      <c r="M20" s="4">
        <f t="shared" ca="1" si="0"/>
        <v>5</v>
      </c>
      <c r="N20" t="str">
        <f>IF(K20="","",IF(K20&gt;=R1,"Caliente",IF(K20&lt;=R2,"Frio","Medio")))</f>
        <v>Frio</v>
      </c>
      <c r="O20" t="str">
        <f ca="1">IF(N20="","",IF(M20&gt;=R3,N20&amp;" atrasado",N20&amp;" reciente"))</f>
        <v>Frio reciente</v>
      </c>
      <c r="P20"/>
      <c r="Q20"/>
      <c r="R20"/>
    </row>
    <row r="21" spans="1:18" x14ac:dyDescent="0.25">
      <c r="A21" s="5">
        <v>19</v>
      </c>
      <c r="B21" s="5">
        <f>+VLOOKUP($A21,'CG20'!$A$364:$B$440,2,FALSE)</f>
        <v>2</v>
      </c>
      <c r="C21" s="5">
        <f>+VLOOKUP($A21,'CG20'!$A$436:$B$500,2,FALSE)</f>
        <v>18</v>
      </c>
      <c r="D21" s="6">
        <f t="shared" si="1"/>
        <v>0.42</v>
      </c>
      <c r="E21" s="5">
        <f>+VLOOKUP($A21,'CG50'!$A$364:$B$440,2,FALSE)</f>
        <v>5</v>
      </c>
      <c r="F21" s="5">
        <f>+VLOOKUP($A21,'CG50'!$A$436:$B$500,2,FALSE)</f>
        <v>45</v>
      </c>
      <c r="G21" s="6">
        <f t="shared" si="2"/>
        <v>0.42</v>
      </c>
      <c r="H21" s="5">
        <f>+VLOOKUP($A21,'CG100'!$A$364:$B$440,2,FALSE)</f>
        <v>10</v>
      </c>
      <c r="I21" s="5">
        <f>+VLOOKUP($A21,'CG100'!$A$436:$B$500,2,FALSE)</f>
        <v>90</v>
      </c>
      <c r="J21" s="6">
        <f t="shared" si="3"/>
        <v>0.42</v>
      </c>
      <c r="K21" s="4">
        <f>+VLOOKUP(A21,HIST!$A:$C,2,FALSE)</f>
        <v>1215</v>
      </c>
      <c r="L21" s="7">
        <f>+VLOOKUP($A21,HIST!$A:$C,3,FALSE)</f>
        <v>46222</v>
      </c>
      <c r="M21" s="4">
        <f t="shared" ca="1" si="0"/>
        <v>8</v>
      </c>
      <c r="N21" t="str">
        <f>IF(K21="","",IF(K21&gt;=R1,"Caliente",IF(K21&lt;=R2,"Frio","Medio")))</f>
        <v>Caliente</v>
      </c>
      <c r="O21" t="str">
        <f ca="1">IF(N21="","",IF(M21&gt;=R3,N21&amp;" atrasado",N21&amp;" reciente"))</f>
        <v>Caliente reciente</v>
      </c>
      <c r="P21"/>
      <c r="Q21"/>
      <c r="R21"/>
    </row>
    <row r="22" spans="1:18" x14ac:dyDescent="0.25">
      <c r="A22" s="5">
        <v>20</v>
      </c>
      <c r="B22" s="5">
        <f>+VLOOKUP($A22,'CG20'!$A$364:$B$440,2,FALSE)</f>
        <v>1</v>
      </c>
      <c r="C22" s="5">
        <f>+VLOOKUP($A22,'CG20'!$A$436:$B$500,2,FALSE)</f>
        <v>19</v>
      </c>
      <c r="D22" s="6">
        <f t="shared" si="1"/>
        <v>0.41000000000000003</v>
      </c>
      <c r="E22" s="5">
        <f>+VLOOKUP($A22,'CG50'!$A$364:$B$440,2,FALSE)</f>
        <v>10</v>
      </c>
      <c r="F22" s="5">
        <f>+VLOOKUP($A22,'CG50'!$A$436:$B$500,2,FALSE)</f>
        <v>40</v>
      </c>
      <c r="G22" s="6">
        <f t="shared" si="2"/>
        <v>0.44</v>
      </c>
      <c r="H22" s="5">
        <f>+VLOOKUP($A22,'CG100'!$A$364:$B$440,2,FALSE)</f>
        <v>14</v>
      </c>
      <c r="I22" s="5">
        <f>+VLOOKUP($A22,'CG100'!$A$436:$B$500,2,FALSE)</f>
        <v>86</v>
      </c>
      <c r="J22" s="6">
        <f t="shared" si="3"/>
        <v>0.42799999999999999</v>
      </c>
      <c r="K22" s="4">
        <f>+VLOOKUP(A22,HIST!$A:$C,2,FALSE)</f>
        <v>1119</v>
      </c>
      <c r="L22" s="7">
        <f>+VLOOKUP($A22,HIST!$A:$C,3,FALSE)</f>
        <v>46225</v>
      </c>
      <c r="M22" s="4">
        <f t="shared" ca="1" si="0"/>
        <v>5</v>
      </c>
      <c r="N22" t="str">
        <f>IF(K22="","",IF(K22&gt;=R1,"Caliente",IF(K22&lt;=R2,"Frio","Medio")))</f>
        <v>Caliente</v>
      </c>
      <c r="O22" t="str">
        <f ca="1">IF(N22="","",IF(M22&gt;=R3,N22&amp;" atrasado",N22&amp;" reciente"))</f>
        <v>Caliente reciente</v>
      </c>
      <c r="P22"/>
      <c r="Q22"/>
      <c r="R22"/>
    </row>
    <row r="23" spans="1:18" x14ac:dyDescent="0.25">
      <c r="A23" s="5">
        <v>21</v>
      </c>
      <c r="B23" s="5">
        <f>+VLOOKUP($A23,'CG20'!$A$364:$B$440,2,FALSE)</f>
        <v>3</v>
      </c>
      <c r="C23" s="5">
        <f>+VLOOKUP($A23,'CG20'!$A$436:$B$500,2,FALSE)</f>
        <v>17</v>
      </c>
      <c r="D23" s="6">
        <f t="shared" si="1"/>
        <v>0.43000000000000005</v>
      </c>
      <c r="E23" s="5">
        <f>+VLOOKUP($A23,'CG50'!$A$364:$B$440,2,FALSE)</f>
        <v>4</v>
      </c>
      <c r="F23" s="5">
        <f>+VLOOKUP($A23,'CG50'!$A$436:$B$500,2,FALSE)</f>
        <v>46</v>
      </c>
      <c r="G23" s="6">
        <f t="shared" si="2"/>
        <v>0.41600000000000004</v>
      </c>
      <c r="H23" s="5">
        <f>+VLOOKUP($A23,'CG100'!$A$364:$B$440,2,FALSE)</f>
        <v>15</v>
      </c>
      <c r="I23" s="5">
        <f>+VLOOKUP($A23,'CG100'!$A$436:$B$500,2,FALSE)</f>
        <v>85</v>
      </c>
      <c r="J23" s="6">
        <f t="shared" si="3"/>
        <v>0.43000000000000005</v>
      </c>
      <c r="K23" s="4">
        <f>+VLOOKUP(A23,HIST!$A:$C,2,FALSE)</f>
        <v>1002</v>
      </c>
      <c r="L23" s="7">
        <f>+VLOOKUP($A23,HIST!$A:$C,3,FALSE)</f>
        <v>46222</v>
      </c>
      <c r="M23" s="4">
        <f t="shared" ca="1" si="0"/>
        <v>8</v>
      </c>
      <c r="N23" t="str">
        <f>IF(K23="","",IF(K23&gt;=R1,"Caliente",IF(K23&lt;=R2,"Frio","Medio")))</f>
        <v>Medio</v>
      </c>
      <c r="O23" t="str">
        <f ca="1">IF(N23="","",IF(M23&gt;=R3,N23&amp;" atrasado",N23&amp;" reciente"))</f>
        <v>Medio reciente</v>
      </c>
      <c r="P23"/>
      <c r="Q23"/>
      <c r="R23"/>
    </row>
    <row r="24" spans="1:18" x14ac:dyDescent="0.25">
      <c r="A24" s="5">
        <v>22</v>
      </c>
      <c r="B24" s="5">
        <f>+VLOOKUP($A24,'CG20'!$A$364:$B$440,2,FALSE)</f>
        <v>1</v>
      </c>
      <c r="C24" s="5">
        <f>+VLOOKUP($A24,'CG20'!$A$436:$B$500,2,FALSE)</f>
        <v>19</v>
      </c>
      <c r="D24" s="6">
        <f t="shared" si="1"/>
        <v>0.41000000000000003</v>
      </c>
      <c r="E24" s="5">
        <f>+VLOOKUP($A24,'CG50'!$A$364:$B$440,2,FALSE)</f>
        <v>3</v>
      </c>
      <c r="F24" s="5">
        <f>+VLOOKUP($A24,'CG50'!$A$436:$B$500,2,FALSE)</f>
        <v>47</v>
      </c>
      <c r="G24" s="6">
        <f t="shared" si="2"/>
        <v>0.41199999999999998</v>
      </c>
      <c r="H24" s="5">
        <f>+VLOOKUP($A24,'CG100'!$A$364:$B$440,2,FALSE)</f>
        <v>9</v>
      </c>
      <c r="I24" s="5">
        <f>+VLOOKUP($A24,'CG100'!$A$436:$B$500,2,FALSE)</f>
        <v>91</v>
      </c>
      <c r="J24" s="6">
        <f t="shared" si="3"/>
        <v>0.41799999999999998</v>
      </c>
      <c r="K24" s="4">
        <f>+VLOOKUP(A24,HIST!$A:$C,2,FALSE)</f>
        <v>1136</v>
      </c>
      <c r="L24" s="7">
        <f>+VLOOKUP($A24,HIST!$A:$C,3,FALSE)</f>
        <v>46219</v>
      </c>
      <c r="M24" s="4">
        <f t="shared" ca="1" si="0"/>
        <v>11</v>
      </c>
      <c r="N24" t="str">
        <f>IF(K24="","",IF(K24&gt;=R1,"Caliente",IF(K24&lt;=R2,"Frio","Medio")))</f>
        <v>Caliente</v>
      </c>
      <c r="O24" t="str">
        <f ca="1">IF(N24="","",IF(M24&gt;=R3,N24&amp;" atrasado",N24&amp;" reciente"))</f>
        <v>Caliente atrasado</v>
      </c>
      <c r="P24"/>
      <c r="Q24"/>
      <c r="R24"/>
    </row>
    <row r="25" spans="1:18" x14ac:dyDescent="0.25">
      <c r="A25" s="5">
        <v>23</v>
      </c>
      <c r="B25" s="5">
        <f>+VLOOKUP($A25,'CG20'!$A$364:$B$440,2,FALSE)</f>
        <v>1</v>
      </c>
      <c r="C25" s="5">
        <f>+VLOOKUP($A25,'CG20'!$A$436:$B$500,2,FALSE)</f>
        <v>19</v>
      </c>
      <c r="D25" s="6">
        <f t="shared" si="1"/>
        <v>0.41000000000000003</v>
      </c>
      <c r="E25" s="5">
        <f>+VLOOKUP($A25,'CG50'!$A$364:$B$440,2,FALSE)</f>
        <v>5</v>
      </c>
      <c r="F25" s="5">
        <f>+VLOOKUP($A25,'CG50'!$A$436:$B$500,2,FALSE)</f>
        <v>45</v>
      </c>
      <c r="G25" s="6">
        <f t="shared" si="2"/>
        <v>0.42</v>
      </c>
      <c r="H25" s="5">
        <f>+VLOOKUP($A25,'CG100'!$A$364:$B$440,2,FALSE)</f>
        <v>8</v>
      </c>
      <c r="I25" s="5">
        <f>+VLOOKUP($A25,'CG100'!$A$436:$B$500,2,FALSE)</f>
        <v>92</v>
      </c>
      <c r="J25" s="6">
        <f t="shared" si="3"/>
        <v>0.41600000000000004</v>
      </c>
      <c r="K25" s="4">
        <f>+VLOOKUP(A25,HIST!$A:$C,2,FALSE)</f>
        <v>992</v>
      </c>
      <c r="L25" s="7">
        <f>+VLOOKUP($A25,HIST!$A:$C,3,FALSE)</f>
        <v>46225</v>
      </c>
      <c r="M25" s="4">
        <f t="shared" ca="1" si="0"/>
        <v>5</v>
      </c>
      <c r="N25" t="str">
        <f>IF(K25="","",IF(K25&gt;=R1,"Caliente",IF(K25&lt;=R2,"Frio","Medio")))</f>
        <v>Medio</v>
      </c>
      <c r="O25" t="str">
        <f ca="1">IF(N25="","",IF(M25&gt;=R3,N25&amp;" atrasado",N25&amp;" reciente"))</f>
        <v>Medio reciente</v>
      </c>
      <c r="P25"/>
      <c r="Q25"/>
      <c r="R25"/>
    </row>
    <row r="26" spans="1:18" x14ac:dyDescent="0.25">
      <c r="A26" s="5">
        <v>24</v>
      </c>
      <c r="B26" s="5">
        <f>+VLOOKUP($A26,'CG20'!$A$364:$B$440,2,FALSE)</f>
        <v>2</v>
      </c>
      <c r="C26" s="5">
        <f>+VLOOKUP($A26,'CG20'!$A$436:$B$500,2,FALSE)</f>
        <v>18</v>
      </c>
      <c r="D26" s="6">
        <f t="shared" si="1"/>
        <v>0.42</v>
      </c>
      <c r="E26" s="5">
        <f>+VLOOKUP($A26,'CG50'!$A$364:$B$440,2,FALSE)</f>
        <v>6</v>
      </c>
      <c r="F26" s="5">
        <f>+VLOOKUP($A26,'CG50'!$A$436:$B$500,2,FALSE)</f>
        <v>44</v>
      </c>
      <c r="G26" s="6">
        <f t="shared" si="2"/>
        <v>0.42400000000000004</v>
      </c>
      <c r="H26" s="5">
        <f>+VLOOKUP($A26,'CG100'!$A$364:$B$440,2,FALSE)</f>
        <v>9</v>
      </c>
      <c r="I26" s="5">
        <f>+VLOOKUP($A26,'CG100'!$A$436:$B$500,2,FALSE)</f>
        <v>91</v>
      </c>
      <c r="J26" s="6">
        <f t="shared" si="3"/>
        <v>0.41799999999999998</v>
      </c>
      <c r="K26" s="4">
        <f>+VLOOKUP(A26,HIST!$A:$C,2,FALSE)</f>
        <v>1185</v>
      </c>
      <c r="L26" s="7">
        <f>+VLOOKUP($A26,HIST!$A:$C,3,FALSE)</f>
        <v>46225</v>
      </c>
      <c r="M26" s="4">
        <f t="shared" ca="1" si="0"/>
        <v>5</v>
      </c>
      <c r="N26" t="str">
        <f>IF(K26="","",IF(K26&gt;=R1,"Caliente",IF(K26&lt;=R2,"Frio","Medio")))</f>
        <v>Caliente</v>
      </c>
      <c r="O26" t="str">
        <f ca="1">IF(N26="","",IF(M26&gt;=R3,N26&amp;" atrasado",N26&amp;" reciente"))</f>
        <v>Caliente reciente</v>
      </c>
      <c r="P26"/>
      <c r="Q26"/>
      <c r="R26"/>
    </row>
    <row r="27" spans="1:18" x14ac:dyDescent="0.25">
      <c r="A27" s="5">
        <v>25</v>
      </c>
      <c r="B27" s="5">
        <f>+VLOOKUP($A27,'CG20'!$A$364:$B$440,2,FALSE)</f>
        <v>1</v>
      </c>
      <c r="C27" s="5">
        <f>+VLOOKUP($A27,'CG20'!$A$436:$B$500,2,FALSE)</f>
        <v>19</v>
      </c>
      <c r="D27" s="6">
        <f t="shared" si="1"/>
        <v>0.41000000000000003</v>
      </c>
      <c r="E27" s="5">
        <f>+VLOOKUP($A27,'CG50'!$A$364:$B$440,2,FALSE)</f>
        <v>4</v>
      </c>
      <c r="F27" s="5">
        <f>+VLOOKUP($A27,'CG50'!$A$436:$B$500,2,FALSE)</f>
        <v>46</v>
      </c>
      <c r="G27" s="6">
        <f t="shared" si="2"/>
        <v>0.41600000000000004</v>
      </c>
      <c r="H27" s="5">
        <f>+VLOOKUP($A27,'CG100'!$A$364:$B$440,2,FALSE)</f>
        <v>11</v>
      </c>
      <c r="I27" s="5">
        <f>+VLOOKUP($A27,'CG100'!$A$436:$B$500,2,FALSE)</f>
        <v>89</v>
      </c>
      <c r="J27" s="6">
        <f t="shared" si="3"/>
        <v>0.42200000000000004</v>
      </c>
      <c r="K27" s="4">
        <f>+VLOOKUP(A27,HIST!$A:$C,2,FALSE)</f>
        <v>987</v>
      </c>
      <c r="L27" s="7">
        <f>+VLOOKUP($A27,HIST!$A:$C,3,FALSE)</f>
        <v>46222</v>
      </c>
      <c r="M27" s="4">
        <f t="shared" ca="1" si="0"/>
        <v>8</v>
      </c>
      <c r="N27" t="str">
        <f>IF(K27="","",IF(K27&gt;=R1,"Caliente",IF(K27&lt;=R2,"Frio","Medio")))</f>
        <v>Frio</v>
      </c>
      <c r="O27" t="str">
        <f ca="1">IF(N27="","",IF(M27&gt;=R3,N27&amp;" atrasado",N27&amp;" reciente"))</f>
        <v>Frio reciente</v>
      </c>
      <c r="P27"/>
      <c r="Q27"/>
      <c r="R27"/>
    </row>
    <row r="28" spans="1:18" x14ac:dyDescent="0.25">
      <c r="A28" s="5">
        <v>26</v>
      </c>
      <c r="B28" s="5">
        <f>+VLOOKUP($A28,'CG20'!$A$364:$B$440,2,FALSE)</f>
        <v>5</v>
      </c>
      <c r="C28" s="5">
        <f>+VLOOKUP($A28,'CG20'!$A$436:$B$500,2,FALSE)</f>
        <v>15</v>
      </c>
      <c r="D28" s="6">
        <f t="shared" si="1"/>
        <v>0.44999999999999996</v>
      </c>
      <c r="E28" s="5">
        <f>+VLOOKUP($A28,'CG50'!$A$364:$B$440,2,FALSE)</f>
        <v>9</v>
      </c>
      <c r="F28" s="5">
        <f>+VLOOKUP($A28,'CG50'!$A$436:$B$500,2,FALSE)</f>
        <v>41</v>
      </c>
      <c r="G28" s="6">
        <f t="shared" si="2"/>
        <v>0.43600000000000005</v>
      </c>
      <c r="H28" s="5">
        <f>+VLOOKUP($A28,'CG100'!$A$364:$B$440,2,FALSE)</f>
        <v>14</v>
      </c>
      <c r="I28" s="5">
        <f>+VLOOKUP($A28,'CG100'!$A$436:$B$500,2,FALSE)</f>
        <v>86</v>
      </c>
      <c r="J28" s="6">
        <f t="shared" si="3"/>
        <v>0.42799999999999999</v>
      </c>
      <c r="K28" s="4">
        <f>+VLOOKUP(A28,HIST!$A:$C,2,FALSE)</f>
        <v>982</v>
      </c>
      <c r="L28" s="7">
        <f>+VLOOKUP($A28,HIST!$A:$C,3,FALSE)</f>
        <v>46211</v>
      </c>
      <c r="M28" s="4">
        <f t="shared" ca="1" si="0"/>
        <v>19</v>
      </c>
      <c r="N28" t="str">
        <f>IF(K28="","",IF(K28&gt;=R1,"Caliente",IF(K28&lt;=R2,"Frio","Medio")))</f>
        <v>Frio</v>
      </c>
      <c r="O28" t="str">
        <f ca="1">IF(N28="","",IF(M28&gt;=R3,N28&amp;" atrasado",N28&amp;" reciente"))</f>
        <v>Frio atrasado</v>
      </c>
      <c r="P28"/>
      <c r="Q28"/>
      <c r="R28"/>
    </row>
    <row r="29" spans="1:18" x14ac:dyDescent="0.25">
      <c r="A29" s="5">
        <v>27</v>
      </c>
      <c r="B29" s="5">
        <f>+VLOOKUP($A29,'CG20'!$A$364:$B$440,2,FALSE)</f>
        <v>7</v>
      </c>
      <c r="C29" s="5">
        <f>+VLOOKUP($A29,'CG20'!$A$436:$B$500,2,FALSE)</f>
        <v>13</v>
      </c>
      <c r="D29" s="6">
        <f t="shared" si="1"/>
        <v>0.47000000000000003</v>
      </c>
      <c r="E29" s="5">
        <f>+VLOOKUP($A29,'CG50'!$A$364:$B$440,2,FALSE)</f>
        <v>10</v>
      </c>
      <c r="F29" s="5">
        <f>+VLOOKUP($A29,'CG50'!$A$436:$B$500,2,FALSE)</f>
        <v>40</v>
      </c>
      <c r="G29" s="6">
        <f t="shared" si="2"/>
        <v>0.44</v>
      </c>
      <c r="H29" s="5">
        <f>+VLOOKUP($A29,'CG100'!$A$364:$B$440,2,FALSE)</f>
        <v>16</v>
      </c>
      <c r="I29" s="5">
        <f>+VLOOKUP($A29,'CG100'!$A$436:$B$500,2,FALSE)</f>
        <v>84</v>
      </c>
      <c r="J29" s="6">
        <f t="shared" si="3"/>
        <v>0.43200000000000005</v>
      </c>
      <c r="K29" s="4">
        <f>+VLOOKUP(A29,HIST!$A:$C,2,FALSE)</f>
        <v>980</v>
      </c>
      <c r="L29" s="7">
        <f>+VLOOKUP($A29,HIST!$A:$C,3,FALSE)</f>
        <v>46222</v>
      </c>
      <c r="M29" s="4">
        <f t="shared" ca="1" si="0"/>
        <v>8</v>
      </c>
      <c r="N29" t="str">
        <f>IF(K29="","",IF(K29&gt;=R1,"Caliente",IF(K29&lt;=R2,"Frio","Medio")))</f>
        <v>Frio</v>
      </c>
      <c r="O29" t="str">
        <f ca="1">IF(N29="","",IF(M29&gt;=R3,N29&amp;" atrasado",N29&amp;" reciente"))</f>
        <v>Frio reciente</v>
      </c>
      <c r="P29"/>
      <c r="Q29"/>
      <c r="R29"/>
    </row>
    <row r="30" spans="1:18" x14ac:dyDescent="0.25">
      <c r="A30" s="5">
        <v>28</v>
      </c>
      <c r="B30" s="5">
        <f>+VLOOKUP($A30,'CG20'!$A$364:$B$440,2,FALSE)</f>
        <v>6</v>
      </c>
      <c r="C30" s="5">
        <f>+VLOOKUP($A30,'CG20'!$A$436:$B$500,2,FALSE)</f>
        <v>14</v>
      </c>
      <c r="D30" s="6">
        <f t="shared" si="1"/>
        <v>0.46</v>
      </c>
      <c r="E30" s="5">
        <f>+VLOOKUP($A30,'CG50'!$A$364:$B$440,2,FALSE)</f>
        <v>7</v>
      </c>
      <c r="F30" s="5">
        <f>+VLOOKUP($A30,'CG50'!$A$436:$B$500,2,FALSE)</f>
        <v>43</v>
      </c>
      <c r="G30" s="6">
        <f t="shared" si="2"/>
        <v>0.42799999999999999</v>
      </c>
      <c r="H30" s="5">
        <f>+VLOOKUP($A30,'CG100'!$A$364:$B$440,2,FALSE)</f>
        <v>14</v>
      </c>
      <c r="I30" s="5">
        <f>+VLOOKUP($A30,'CG100'!$A$436:$B$500,2,FALSE)</f>
        <v>86</v>
      </c>
      <c r="J30" s="6">
        <f t="shared" si="3"/>
        <v>0.42799999999999999</v>
      </c>
      <c r="K30" s="4">
        <f>+VLOOKUP(A30,HIST!$A:$C,2,FALSE)</f>
        <v>1095</v>
      </c>
      <c r="L30" s="7">
        <f>+VLOOKUP($A30,HIST!$A:$C,3,FALSE)</f>
        <v>46222</v>
      </c>
      <c r="M30" s="4">
        <f t="shared" ca="1" si="0"/>
        <v>8</v>
      </c>
      <c r="N30" t="str">
        <f>IF(K30="","",IF(K30&gt;=R1,"Caliente",IF(K30&lt;=R2,"Frio","Medio")))</f>
        <v>Caliente</v>
      </c>
      <c r="O30" t="str">
        <f ca="1">IF(N30="","",IF(M30&gt;=R3,N30&amp;" atrasado",N30&amp;" reciente"))</f>
        <v>Caliente reciente</v>
      </c>
      <c r="P30"/>
      <c r="Q30"/>
      <c r="R30"/>
    </row>
    <row r="31" spans="1:18" x14ac:dyDescent="0.25">
      <c r="A31" s="5">
        <v>29</v>
      </c>
      <c r="B31" s="5">
        <f>+VLOOKUP($A31,'CG20'!$A$364:$B$440,2,FALSE)</f>
        <v>3</v>
      </c>
      <c r="C31" s="5">
        <f>+VLOOKUP($A31,'CG20'!$A$436:$B$500,2,FALSE)</f>
        <v>17</v>
      </c>
      <c r="D31" s="6">
        <f t="shared" si="1"/>
        <v>0.43000000000000005</v>
      </c>
      <c r="E31" s="5">
        <f>+VLOOKUP($A31,'CG50'!$A$364:$B$440,2,FALSE)</f>
        <v>4</v>
      </c>
      <c r="F31" s="5">
        <f>+VLOOKUP($A31,'CG50'!$A$436:$B$500,2,FALSE)</f>
        <v>46</v>
      </c>
      <c r="G31" s="6">
        <f t="shared" si="2"/>
        <v>0.41600000000000004</v>
      </c>
      <c r="H31" s="5">
        <f>+VLOOKUP($A31,'CG100'!$A$364:$B$440,2,FALSE)</f>
        <v>14</v>
      </c>
      <c r="I31" s="5">
        <f>+VLOOKUP($A31,'CG100'!$A$436:$B$500,2,FALSE)</f>
        <v>86</v>
      </c>
      <c r="J31" s="6">
        <f t="shared" si="3"/>
        <v>0.42799999999999999</v>
      </c>
      <c r="K31" s="4">
        <f>+VLOOKUP(A31,HIST!$A:$C,2,FALSE)</f>
        <v>1062</v>
      </c>
      <c r="L31" s="7">
        <f>+VLOOKUP($A31,HIST!$A:$C,3,FALSE)</f>
        <v>46222</v>
      </c>
      <c r="M31" s="4">
        <f t="shared" ca="1" si="0"/>
        <v>8</v>
      </c>
      <c r="N31" t="str">
        <f>IF(K31="","",IF(K31&gt;=R1,"Caliente",IF(K31&lt;=R2,"Frio","Medio")))</f>
        <v>Medio</v>
      </c>
      <c r="O31" t="str">
        <f ca="1">IF(N31="","",IF(M31&gt;=R3,N31&amp;" atrasado",N31&amp;" reciente"))</f>
        <v>Medio reciente</v>
      </c>
      <c r="P31"/>
      <c r="Q31"/>
      <c r="R31"/>
    </row>
    <row r="32" spans="1:18" x14ac:dyDescent="0.25">
      <c r="A32" s="5">
        <v>30</v>
      </c>
      <c r="B32" s="5">
        <f>+VLOOKUP($A32,'CG20'!$A$364:$B$440,2,FALSE)</f>
        <v>4</v>
      </c>
      <c r="C32" s="5">
        <f>+VLOOKUP($A32,'CG20'!$A$436:$B$500,2,FALSE)</f>
        <v>16</v>
      </c>
      <c r="D32" s="6">
        <f t="shared" si="1"/>
        <v>0.44</v>
      </c>
      <c r="E32" s="5">
        <f>+VLOOKUP($A32,'CG50'!$A$364:$B$440,2,FALSE)</f>
        <v>9</v>
      </c>
      <c r="F32" s="5">
        <f>+VLOOKUP($A32,'CG50'!$A$436:$B$500,2,FALSE)</f>
        <v>41</v>
      </c>
      <c r="G32" s="6">
        <f t="shared" si="2"/>
        <v>0.43600000000000005</v>
      </c>
      <c r="H32" s="5">
        <f>+VLOOKUP($A32,'CG100'!$A$364:$B$440,2,FALSE)</f>
        <v>13</v>
      </c>
      <c r="I32" s="5">
        <f>+VLOOKUP($A32,'CG100'!$A$436:$B$500,2,FALSE)</f>
        <v>87</v>
      </c>
      <c r="J32" s="6">
        <f t="shared" si="3"/>
        <v>0.42600000000000005</v>
      </c>
      <c r="K32" s="4">
        <f>+VLOOKUP(A32,HIST!$A:$C,2,FALSE)</f>
        <v>1009</v>
      </c>
      <c r="L32" s="7">
        <f>+VLOOKUP($A32,HIST!$A:$C,3,FALSE)</f>
        <v>46225</v>
      </c>
      <c r="M32" s="4">
        <f t="shared" ca="1" si="0"/>
        <v>5</v>
      </c>
      <c r="N32" t="str">
        <f>IF(K32="","",IF(K32&gt;=R1,"Caliente",IF(K32&lt;=R2,"Frio","Medio")))</f>
        <v>Medio</v>
      </c>
      <c r="O32" t="str">
        <f ca="1">IF(N32="","",IF(M32&gt;=R3,N32&amp;" atrasado",N32&amp;" reciente"))</f>
        <v>Medio reciente</v>
      </c>
      <c r="P32"/>
      <c r="Q32"/>
      <c r="R32"/>
    </row>
    <row r="33" spans="1:18" x14ac:dyDescent="0.25">
      <c r="A33" s="5">
        <v>31</v>
      </c>
      <c r="B33" s="5">
        <f>+VLOOKUP($A33,'CG20'!$A$364:$B$440,2,FALSE)</f>
        <v>3</v>
      </c>
      <c r="C33" s="5">
        <f>+VLOOKUP($A33,'CG20'!$A$436:$B$500,2,FALSE)</f>
        <v>17</v>
      </c>
      <c r="D33" s="6">
        <f t="shared" si="1"/>
        <v>0.43000000000000005</v>
      </c>
      <c r="E33" s="5">
        <f>+VLOOKUP($A33,'CG50'!$A$364:$B$440,2,FALSE)</f>
        <v>5</v>
      </c>
      <c r="F33" s="5">
        <f>+VLOOKUP($A33,'CG50'!$A$436:$B$500,2,FALSE)</f>
        <v>45</v>
      </c>
      <c r="G33" s="6">
        <f t="shared" si="2"/>
        <v>0.42</v>
      </c>
      <c r="H33" s="5">
        <f>+VLOOKUP($A33,'CG100'!$A$364:$B$440,2,FALSE)</f>
        <v>12</v>
      </c>
      <c r="I33" s="5">
        <f>+VLOOKUP($A33,'CG100'!$A$436:$B$500,2,FALSE)</f>
        <v>88</v>
      </c>
      <c r="J33" s="6">
        <f t="shared" si="3"/>
        <v>0.42400000000000004</v>
      </c>
      <c r="K33" s="4">
        <f>+VLOOKUP(A33,HIST!$A:$C,2,FALSE)</f>
        <v>1093</v>
      </c>
      <c r="L33" s="7">
        <f>+VLOOKUP($A33,HIST!$A:$C,3,FALSE)</f>
        <v>46225</v>
      </c>
      <c r="M33" s="4">
        <f t="shared" ca="1" si="0"/>
        <v>5</v>
      </c>
      <c r="N33" t="str">
        <f>IF(K33="","",IF(K33&gt;=R1,"Caliente",IF(K33&lt;=R2,"Frio","Medio")))</f>
        <v>Medio</v>
      </c>
      <c r="O33" t="str">
        <f ca="1">IF(N33="","",IF(M33&gt;=R3,N33&amp;" atrasado",N33&amp;" reciente"))</f>
        <v>Medio reciente</v>
      </c>
      <c r="P33"/>
      <c r="Q33"/>
      <c r="R33"/>
    </row>
    <row r="34" spans="1:18" x14ac:dyDescent="0.25">
      <c r="A34" s="5">
        <v>32</v>
      </c>
      <c r="B34" s="5">
        <f>+VLOOKUP($A34,'CG20'!$A$364:$B$440,2,FALSE)</f>
        <v>6</v>
      </c>
      <c r="C34" s="5">
        <f>+VLOOKUP($A34,'CG20'!$A$436:$B$500,2,FALSE)</f>
        <v>14</v>
      </c>
      <c r="D34" s="6">
        <f t="shared" si="1"/>
        <v>0.46</v>
      </c>
      <c r="E34" s="5">
        <f>+VLOOKUP($A34,'CG50'!$A$364:$B$440,2,FALSE)</f>
        <v>8</v>
      </c>
      <c r="F34" s="5">
        <f>+VLOOKUP($A34,'CG50'!$A$436:$B$500,2,FALSE)</f>
        <v>42</v>
      </c>
      <c r="G34" s="6">
        <f t="shared" si="2"/>
        <v>0.43200000000000005</v>
      </c>
      <c r="H34" s="5">
        <f>+VLOOKUP($A34,'CG100'!$A$364:$B$440,2,FALSE)</f>
        <v>17</v>
      </c>
      <c r="I34" s="5">
        <f>+VLOOKUP($A34,'CG100'!$A$436:$B$500,2,FALSE)</f>
        <v>83</v>
      </c>
      <c r="J34" s="6">
        <f t="shared" si="3"/>
        <v>0.434</v>
      </c>
      <c r="K34" s="4">
        <f>+VLOOKUP(A34,HIST!$A:$C,2,FALSE)</f>
        <v>979</v>
      </c>
      <c r="L34" s="7">
        <f>+VLOOKUP($A34,HIST!$A:$C,3,FALSE)</f>
        <v>46222</v>
      </c>
      <c r="M34" s="4">
        <f t="shared" ca="1" si="0"/>
        <v>8</v>
      </c>
      <c r="N34" t="str">
        <f>IF(K34="","",IF(K34&gt;=R1,"Caliente",IF(K34&lt;=R2,"Frio","Medio")))</f>
        <v>Frio</v>
      </c>
      <c r="O34" t="str">
        <f ca="1">IF(N34="","",IF(M34&gt;=R3,N34&amp;" atrasado",N34&amp;" reciente"))</f>
        <v>Frio reciente</v>
      </c>
      <c r="P34"/>
      <c r="Q34"/>
      <c r="R34"/>
    </row>
    <row r="35" spans="1:18" x14ac:dyDescent="0.25">
      <c r="A35" s="5">
        <v>33</v>
      </c>
      <c r="B35" s="5">
        <f>+VLOOKUP($A35,'CG20'!$A$364:$B$440,2,FALSE)</f>
        <v>2</v>
      </c>
      <c r="C35" s="5">
        <f>+VLOOKUP($A35,'CG20'!$A$436:$B$500,2,FALSE)</f>
        <v>18</v>
      </c>
      <c r="D35" s="6">
        <f t="shared" si="1"/>
        <v>0.42</v>
      </c>
      <c r="E35" s="5">
        <f>+VLOOKUP($A35,'CG50'!$A$364:$B$440,2,FALSE)</f>
        <v>7</v>
      </c>
      <c r="F35" s="5">
        <f>+VLOOKUP($A35,'CG50'!$A$436:$B$500,2,FALSE)</f>
        <v>43</v>
      </c>
      <c r="G35" s="6">
        <f t="shared" si="2"/>
        <v>0.42799999999999999</v>
      </c>
      <c r="H35" s="5">
        <f>+VLOOKUP($A35,'CG100'!$A$364:$B$440,2,FALSE)</f>
        <v>14</v>
      </c>
      <c r="I35" s="5">
        <f>+VLOOKUP($A35,'CG100'!$A$436:$B$500,2,FALSE)</f>
        <v>86</v>
      </c>
      <c r="J35" s="6">
        <f t="shared" si="3"/>
        <v>0.42799999999999999</v>
      </c>
      <c r="K35" s="4">
        <f>+VLOOKUP(A35,HIST!$A:$C,2,FALSE)</f>
        <v>994</v>
      </c>
      <c r="L35" s="7">
        <f>+VLOOKUP($A35,HIST!$A:$C,3,FALSE)</f>
        <v>46222</v>
      </c>
      <c r="M35" s="4">
        <f t="shared" ca="1" si="0"/>
        <v>8</v>
      </c>
      <c r="N35" t="str">
        <f>IF(K35="","",IF(K35&gt;=R1,"Caliente",IF(K35&lt;=R2,"Frio","Medio")))</f>
        <v>Medio</v>
      </c>
      <c r="O35" t="str">
        <f ca="1">IF(N35="","",IF(M35&gt;=R3,N35&amp;" atrasado",N35&amp;" reciente"))</f>
        <v>Medio reciente</v>
      </c>
      <c r="P35"/>
      <c r="Q35"/>
      <c r="R35"/>
    </row>
    <row r="36" spans="1:18" x14ac:dyDescent="0.25">
      <c r="A36" s="5">
        <v>34</v>
      </c>
      <c r="B36" s="5">
        <f>+VLOOKUP($A36,'CG20'!$A$364:$B$440,2,FALSE)</f>
        <v>1</v>
      </c>
      <c r="C36" s="5">
        <f>+VLOOKUP($A36,'CG20'!$A$436:$B$500,2,FALSE)</f>
        <v>19</v>
      </c>
      <c r="D36" s="6">
        <f t="shared" si="1"/>
        <v>0.41000000000000003</v>
      </c>
      <c r="E36" s="5">
        <f>+VLOOKUP($A36,'CG50'!$A$364:$B$440,2,FALSE)</f>
        <v>6</v>
      </c>
      <c r="F36" s="5">
        <f>+VLOOKUP($A36,'CG50'!$A$436:$B$500,2,FALSE)</f>
        <v>44</v>
      </c>
      <c r="G36" s="6">
        <f t="shared" si="2"/>
        <v>0.42400000000000004</v>
      </c>
      <c r="H36" s="5">
        <f>+VLOOKUP($A36,'CG100'!$A$364:$B$440,2,FALSE)</f>
        <v>14</v>
      </c>
      <c r="I36" s="5">
        <f>+VLOOKUP($A36,'CG100'!$A$436:$B$500,2,FALSE)</f>
        <v>86</v>
      </c>
      <c r="J36" s="6">
        <f t="shared" si="3"/>
        <v>0.42799999999999999</v>
      </c>
      <c r="K36" s="4">
        <f>+VLOOKUP(A36,HIST!$A:$C,2,FALSE)</f>
        <v>1092</v>
      </c>
      <c r="L36" s="7">
        <f>+VLOOKUP($A36,HIST!$A:$C,3,FALSE)</f>
        <v>46225</v>
      </c>
      <c r="M36" s="4">
        <f t="shared" ca="1" si="0"/>
        <v>5</v>
      </c>
      <c r="N36" t="str">
        <f>IF(K36="","",IF(K36&gt;=R1,"Caliente",IF(K36&lt;=R2,"Frio","Medio")))</f>
        <v>Medio</v>
      </c>
      <c r="O36" t="str">
        <f ca="1">IF(N36="","",IF(M36&gt;=R3,N36&amp;" atrasado",N36&amp;" reciente"))</f>
        <v>Medio reciente</v>
      </c>
      <c r="P36"/>
      <c r="Q36"/>
      <c r="R36"/>
    </row>
    <row r="37" spans="1:18" x14ac:dyDescent="0.25">
      <c r="A37" s="5">
        <v>35</v>
      </c>
      <c r="B37" s="5">
        <f>+VLOOKUP($A37,'CG20'!$A$364:$B$440,2,FALSE)</f>
        <v>1</v>
      </c>
      <c r="C37" s="5">
        <f>+VLOOKUP($A37,'CG20'!$A$436:$B$500,2,FALSE)</f>
        <v>19</v>
      </c>
      <c r="D37" s="6">
        <f t="shared" si="1"/>
        <v>0.41000000000000003</v>
      </c>
      <c r="E37" s="5">
        <f>+VLOOKUP($A37,'CG50'!$A$364:$B$440,2,FALSE)</f>
        <v>3</v>
      </c>
      <c r="F37" s="5">
        <f>+VLOOKUP($A37,'CG50'!$A$436:$B$500,2,FALSE)</f>
        <v>47</v>
      </c>
      <c r="G37" s="6">
        <f t="shared" si="2"/>
        <v>0.41199999999999998</v>
      </c>
      <c r="H37" s="5">
        <f>+VLOOKUP($A37,'CG100'!$A$364:$B$440,2,FALSE)</f>
        <v>7</v>
      </c>
      <c r="I37" s="5">
        <f>+VLOOKUP($A37,'CG100'!$A$436:$B$500,2,FALSE)</f>
        <v>93</v>
      </c>
      <c r="J37" s="6">
        <f t="shared" si="3"/>
        <v>0.41400000000000003</v>
      </c>
      <c r="K37" s="4">
        <f>+VLOOKUP(A37,HIST!$A:$C,2,FALSE)</f>
        <v>1106</v>
      </c>
      <c r="L37" s="7">
        <f>+VLOOKUP($A37,HIST!$A:$C,3,FALSE)</f>
        <v>46204</v>
      </c>
      <c r="M37" s="4">
        <f t="shared" ca="1" si="0"/>
        <v>26</v>
      </c>
      <c r="N37" t="str">
        <f>IF(K37="","",IF(K37&gt;=R1,"Caliente",IF(K37&lt;=R2,"Frio","Medio")))</f>
        <v>Caliente</v>
      </c>
      <c r="O37" t="str">
        <f ca="1">IF(N37="","",IF(M37&gt;=R3,N37&amp;" atrasado",N37&amp;" reciente"))</f>
        <v>Caliente atrasado</v>
      </c>
      <c r="P37"/>
      <c r="Q37"/>
      <c r="R37"/>
    </row>
    <row r="38" spans="1:18" x14ac:dyDescent="0.25">
      <c r="A38" s="5">
        <v>36</v>
      </c>
      <c r="B38" s="5">
        <f>+VLOOKUP($A38,'CG20'!$A$364:$B$440,2,FALSE)</f>
        <v>2</v>
      </c>
      <c r="C38" s="5">
        <f>+VLOOKUP($A38,'CG20'!$A$436:$B$500,2,FALSE)</f>
        <v>18</v>
      </c>
      <c r="D38" s="6">
        <f t="shared" si="1"/>
        <v>0.42</v>
      </c>
      <c r="E38" s="5">
        <f>+VLOOKUP($A38,'CG50'!$A$364:$B$440,2,FALSE)</f>
        <v>4</v>
      </c>
      <c r="F38" s="5">
        <f>+VLOOKUP($A38,'CG50'!$A$436:$B$500,2,FALSE)</f>
        <v>46</v>
      </c>
      <c r="G38" s="6">
        <f t="shared" si="2"/>
        <v>0.41600000000000004</v>
      </c>
      <c r="H38" s="5">
        <f>+VLOOKUP($A38,'CG100'!$A$364:$B$440,2,FALSE)</f>
        <v>10</v>
      </c>
      <c r="I38" s="5">
        <f>+VLOOKUP($A38,'CG100'!$A$436:$B$500,2,FALSE)</f>
        <v>90</v>
      </c>
      <c r="J38" s="6">
        <f t="shared" si="3"/>
        <v>0.42</v>
      </c>
      <c r="K38" s="4">
        <f>+VLOOKUP(A38,HIST!$A:$C,2,FALSE)</f>
        <v>1145</v>
      </c>
      <c r="L38" s="7">
        <f>+VLOOKUP($A38,HIST!$A:$C,3,FALSE)</f>
        <v>46225</v>
      </c>
      <c r="M38" s="4">
        <f t="shared" ca="1" si="0"/>
        <v>5</v>
      </c>
      <c r="N38" t="str">
        <f>IF(K38="","",IF(K38&gt;=R1,"Caliente",IF(K38&lt;=R2,"Frio","Medio")))</f>
        <v>Caliente</v>
      </c>
      <c r="O38" t="str">
        <f ca="1">IF(N38="","",IF(M38&gt;=R3,N38&amp;" atrasado",N38&amp;" reciente"))</f>
        <v>Caliente reciente</v>
      </c>
      <c r="P38"/>
      <c r="Q38"/>
      <c r="R38"/>
    </row>
    <row r="39" spans="1:18" x14ac:dyDescent="0.25">
      <c r="A39" s="5">
        <v>37</v>
      </c>
      <c r="B39" s="5">
        <f>+VLOOKUP($A39,'CG20'!$A$364:$B$440,2,FALSE)</f>
        <v>4</v>
      </c>
      <c r="C39" s="5">
        <f>+VLOOKUP($A39,'CG20'!$A$436:$B$500,2,FALSE)</f>
        <v>16</v>
      </c>
      <c r="D39" s="6">
        <f t="shared" si="1"/>
        <v>0.44</v>
      </c>
      <c r="E39" s="5">
        <f>+VLOOKUP($A39,'CG50'!$A$364:$B$440,2,FALSE)</f>
        <v>9</v>
      </c>
      <c r="F39" s="5">
        <f>+VLOOKUP($A39,'CG50'!$A$436:$B$500,2,FALSE)</f>
        <v>41</v>
      </c>
      <c r="G39" s="6">
        <f t="shared" si="2"/>
        <v>0.43600000000000005</v>
      </c>
      <c r="H39" s="5">
        <f>+VLOOKUP($A39,'CG100'!$A$364:$B$440,2,FALSE)</f>
        <v>15</v>
      </c>
      <c r="I39" s="5">
        <f>+VLOOKUP($A39,'CG100'!$A$436:$B$500,2,FALSE)</f>
        <v>85</v>
      </c>
      <c r="J39" s="6">
        <f t="shared" si="3"/>
        <v>0.43000000000000005</v>
      </c>
      <c r="K39" s="4">
        <f>+VLOOKUP(A39,HIST!$A:$C,2,FALSE)</f>
        <v>1205</v>
      </c>
      <c r="L39" s="7">
        <f>+VLOOKUP($A39,HIST!$A:$C,3,FALSE)</f>
        <v>46219</v>
      </c>
      <c r="M39" s="4">
        <f t="shared" ca="1" si="0"/>
        <v>11</v>
      </c>
      <c r="N39" t="str">
        <f>IF(K39="","",IF(K39&gt;=R1,"Caliente",IF(K39&lt;=R2,"Frio","Medio")))</f>
        <v>Caliente</v>
      </c>
      <c r="O39" t="str">
        <f ca="1">IF(N39="","",IF(M39&gt;=R3,N39&amp;" atrasado",N39&amp;" reciente"))</f>
        <v>Caliente atrasado</v>
      </c>
      <c r="P39"/>
      <c r="Q39"/>
      <c r="R39"/>
    </row>
    <row r="40" spans="1:18" x14ac:dyDescent="0.25">
      <c r="A40" s="5">
        <v>38</v>
      </c>
      <c r="B40" s="5">
        <f>+VLOOKUP($A40,'CG20'!$A$364:$B$440,2,FALSE)</f>
        <v>2</v>
      </c>
      <c r="C40" s="5">
        <f>+VLOOKUP($A40,'CG20'!$A$436:$B$500,2,FALSE)</f>
        <v>18</v>
      </c>
      <c r="D40" s="6">
        <f t="shared" si="1"/>
        <v>0.42</v>
      </c>
      <c r="E40" s="5">
        <f>+VLOOKUP($A40,'CG50'!$A$364:$B$440,2,FALSE)</f>
        <v>5</v>
      </c>
      <c r="F40" s="5">
        <f>+VLOOKUP($A40,'CG50'!$A$436:$B$500,2,FALSE)</f>
        <v>45</v>
      </c>
      <c r="G40" s="6">
        <f t="shared" si="2"/>
        <v>0.42</v>
      </c>
      <c r="H40" s="5">
        <f>+VLOOKUP($A40,'CG100'!$A$364:$B$440,2,FALSE)</f>
        <v>11</v>
      </c>
      <c r="I40" s="5">
        <f>+VLOOKUP($A40,'CG100'!$A$436:$B$500,2,FALSE)</f>
        <v>89</v>
      </c>
      <c r="J40" s="6">
        <f t="shared" si="3"/>
        <v>0.42200000000000004</v>
      </c>
      <c r="K40" s="4">
        <f>+VLOOKUP(A40,HIST!$A:$C,2,FALSE)</f>
        <v>982</v>
      </c>
      <c r="L40" s="7">
        <f>+VLOOKUP($A40,HIST!$A:$C,3,FALSE)</f>
        <v>46225</v>
      </c>
      <c r="M40" s="4">
        <f t="shared" ca="1" si="0"/>
        <v>5</v>
      </c>
      <c r="N40" t="str">
        <f>IF(K40="","",IF(K40&gt;=R1,"Caliente",IF(K40&lt;=R2,"Frio","Medio")))</f>
        <v>Frio</v>
      </c>
      <c r="O40" t="str">
        <f ca="1">IF(N40="","",IF(M40&gt;=R3,N40&amp;" atrasado",N40&amp;" reciente"))</f>
        <v>Frio reciente</v>
      </c>
      <c r="P40"/>
      <c r="Q40"/>
      <c r="R40"/>
    </row>
    <row r="41" spans="1:18" x14ac:dyDescent="0.25">
      <c r="A41" s="5">
        <v>39</v>
      </c>
      <c r="B41" s="5">
        <f>+VLOOKUP($A41,'CG20'!$A$364:$B$440,2,FALSE)</f>
        <v>1</v>
      </c>
      <c r="C41" s="5">
        <f>+VLOOKUP($A41,'CG20'!$A$436:$B$500,2,FALSE)</f>
        <v>19</v>
      </c>
      <c r="D41" s="6">
        <f t="shared" si="1"/>
        <v>0.41000000000000003</v>
      </c>
      <c r="E41" s="5">
        <f>+VLOOKUP($A41,'CG50'!$A$364:$B$440,2,FALSE)</f>
        <v>3</v>
      </c>
      <c r="F41" s="5">
        <f>+VLOOKUP($A41,'CG50'!$A$436:$B$500,2,FALSE)</f>
        <v>47</v>
      </c>
      <c r="G41" s="6">
        <f t="shared" si="2"/>
        <v>0.41199999999999998</v>
      </c>
      <c r="H41" s="5">
        <f>+VLOOKUP($A41,'CG100'!$A$364:$B$440,2,FALSE)</f>
        <v>12</v>
      </c>
      <c r="I41" s="5">
        <f>+VLOOKUP($A41,'CG100'!$A$436:$B$500,2,FALSE)</f>
        <v>88</v>
      </c>
      <c r="J41" s="6">
        <f t="shared" si="3"/>
        <v>0.42400000000000004</v>
      </c>
      <c r="K41" s="4">
        <f>+VLOOKUP(A41,HIST!$A:$C,2,FALSE)</f>
        <v>957</v>
      </c>
      <c r="L41" s="7">
        <f>+VLOOKUP($A41,HIST!$A:$C,3,FALSE)</f>
        <v>46219</v>
      </c>
      <c r="M41" s="4">
        <f t="shared" ca="1" si="0"/>
        <v>11</v>
      </c>
      <c r="N41" t="str">
        <f>IF(K41="","",IF(K41&gt;=R1,"Caliente",IF(K41&lt;=R2,"Frio","Medio")))</f>
        <v>Frio</v>
      </c>
      <c r="O41" t="str">
        <f ca="1">IF(N41="","",IF(M41&gt;=R3,N41&amp;" atrasado",N41&amp;" reciente"))</f>
        <v>Frio atrasado</v>
      </c>
      <c r="P41"/>
      <c r="Q41"/>
      <c r="R41"/>
    </row>
    <row r="42" spans="1:18" x14ac:dyDescent="0.25">
      <c r="A42" s="5">
        <v>40</v>
      </c>
      <c r="B42" s="5">
        <f>+VLOOKUP($A42,'CG20'!$A$364:$B$440,2,FALSE)</f>
        <v>2</v>
      </c>
      <c r="C42" s="5">
        <f>+VLOOKUP($A42,'CG20'!$A$436:$B$500,2,FALSE)</f>
        <v>18</v>
      </c>
      <c r="D42" s="6">
        <f t="shared" si="1"/>
        <v>0.42</v>
      </c>
      <c r="E42" s="5">
        <f>+VLOOKUP($A42,'CG50'!$A$364:$B$440,2,FALSE)</f>
        <v>7</v>
      </c>
      <c r="F42" s="5">
        <f>+VLOOKUP($A42,'CG50'!$A$436:$B$500,2,FALSE)</f>
        <v>43</v>
      </c>
      <c r="G42" s="6">
        <f t="shared" si="2"/>
        <v>0.42799999999999999</v>
      </c>
      <c r="H42" s="5">
        <f>+VLOOKUP($A42,'CG100'!$A$364:$B$440,2,FALSE)</f>
        <v>16</v>
      </c>
      <c r="I42" s="5">
        <f>+VLOOKUP($A42,'CG100'!$A$436:$B$500,2,FALSE)</f>
        <v>84</v>
      </c>
      <c r="J42" s="6">
        <f t="shared" si="3"/>
        <v>0.43200000000000005</v>
      </c>
      <c r="K42" s="4">
        <f>+VLOOKUP(A42,HIST!$A:$C,2,FALSE)</f>
        <v>1074</v>
      </c>
      <c r="L42" s="7">
        <f>+VLOOKUP($A42,HIST!$A:$C,3,FALSE)</f>
        <v>46215</v>
      </c>
      <c r="M42" s="4">
        <f t="shared" ca="1" si="0"/>
        <v>15</v>
      </c>
      <c r="N42" t="str">
        <f>IF(K42="","",IF(K42&gt;=R1,"Caliente",IF(K42&lt;=R2,"Frio","Medio")))</f>
        <v>Medio</v>
      </c>
      <c r="O42" t="str">
        <f ca="1">IF(N42="","",IF(M42&gt;=R3,N42&amp;" atrasado",N42&amp;" reciente"))</f>
        <v>Medio atrasado</v>
      </c>
      <c r="P42"/>
      <c r="Q42"/>
      <c r="R42"/>
    </row>
    <row r="43" spans="1:18" x14ac:dyDescent="0.25">
      <c r="A43" s="5">
        <v>41</v>
      </c>
      <c r="B43" s="5">
        <f>+VLOOKUP($A43,'CG20'!$A$364:$B$440,2,FALSE)</f>
        <v>3</v>
      </c>
      <c r="C43" s="5">
        <f>+VLOOKUP($A43,'CG20'!$A$436:$B$500,2,FALSE)</f>
        <v>17</v>
      </c>
      <c r="D43" s="6">
        <f t="shared" si="1"/>
        <v>0.43000000000000005</v>
      </c>
      <c r="E43" s="5">
        <f>+VLOOKUP($A43,'CG50'!$A$364:$B$440,2,FALSE)</f>
        <v>7</v>
      </c>
      <c r="F43" s="5">
        <f>+VLOOKUP($A43,'CG50'!$A$436:$B$500,2,FALSE)</f>
        <v>43</v>
      </c>
      <c r="G43" s="6">
        <f t="shared" si="2"/>
        <v>0.42799999999999999</v>
      </c>
      <c r="H43" s="5">
        <f>+VLOOKUP($A43,'CG100'!$A$364:$B$440,2,FALSE)</f>
        <v>12</v>
      </c>
      <c r="I43" s="5">
        <f>+VLOOKUP($A43,'CG100'!$A$436:$B$500,2,FALSE)</f>
        <v>88</v>
      </c>
      <c r="J43" s="6">
        <f t="shared" si="3"/>
        <v>0.42400000000000004</v>
      </c>
      <c r="K43" s="4">
        <f>+VLOOKUP(A43,HIST!$A:$C,2,FALSE)</f>
        <v>1094</v>
      </c>
      <c r="L43" s="7">
        <f>+VLOOKUP($A43,HIST!$A:$C,3,FALSE)</f>
        <v>46225</v>
      </c>
      <c r="M43" s="4">
        <f t="shared" ca="1" si="0"/>
        <v>5</v>
      </c>
      <c r="N43" t="str">
        <f>IF(K43="","",IF(K43&gt;=R1,"Caliente",IF(K43&lt;=R2,"Frio","Medio")))</f>
        <v>Caliente</v>
      </c>
      <c r="O43" t="str">
        <f ca="1">IF(N43="","",IF(M43&gt;=R3,N43&amp;" atrasado",N43&amp;" reciente"))</f>
        <v>Caliente reciente</v>
      </c>
      <c r="P43"/>
      <c r="Q43"/>
      <c r="R43"/>
    </row>
    <row r="44" spans="1:18" x14ac:dyDescent="0.25">
      <c r="A44" s="5">
        <v>42</v>
      </c>
      <c r="B44" s="5">
        <f>+VLOOKUP($A44,'CG20'!$A$364:$B$440,2,FALSE)</f>
        <v>2</v>
      </c>
      <c r="C44" s="5">
        <f>+VLOOKUP($A44,'CG20'!$A$436:$B$500,2,FALSE)</f>
        <v>18</v>
      </c>
      <c r="D44" s="6">
        <f t="shared" si="1"/>
        <v>0.42</v>
      </c>
      <c r="E44" s="5">
        <f>+VLOOKUP($A44,'CG50'!$A$364:$B$440,2,FALSE)</f>
        <v>7</v>
      </c>
      <c r="F44" s="5">
        <f>+VLOOKUP($A44,'CG50'!$A$436:$B$500,2,FALSE)</f>
        <v>43</v>
      </c>
      <c r="G44" s="6">
        <f t="shared" si="2"/>
        <v>0.42799999999999999</v>
      </c>
      <c r="H44" s="5">
        <f>+VLOOKUP($A44,'CG100'!$A$364:$B$440,2,FALSE)</f>
        <v>16</v>
      </c>
      <c r="I44" s="5">
        <f>+VLOOKUP($A44,'CG100'!$A$436:$B$500,2,FALSE)</f>
        <v>84</v>
      </c>
      <c r="J44" s="6">
        <f t="shared" si="3"/>
        <v>0.43200000000000005</v>
      </c>
      <c r="K44" s="4">
        <f>+VLOOKUP(A44,HIST!$A:$C,2,FALSE)</f>
        <v>1018</v>
      </c>
      <c r="L44" s="7">
        <f>+VLOOKUP($A44,HIST!$A:$C,3,FALSE)</f>
        <v>46225</v>
      </c>
      <c r="M44" s="4">
        <f t="shared" ca="1" si="0"/>
        <v>5</v>
      </c>
      <c r="N44" t="str">
        <f>IF(K44="","",IF(K44&gt;=R1,"Caliente",IF(K44&lt;=R2,"Frio","Medio")))</f>
        <v>Medio</v>
      </c>
      <c r="O44" t="str">
        <f ca="1">IF(N44="","",IF(M44&gt;=R3,N44&amp;" atrasado",N44&amp;" reciente"))</f>
        <v>Medio reciente</v>
      </c>
      <c r="P44"/>
      <c r="Q44"/>
      <c r="R44"/>
    </row>
    <row r="45" spans="1:18" x14ac:dyDescent="0.25">
      <c r="A45" s="5">
        <v>43</v>
      </c>
      <c r="B45" s="5">
        <f>+VLOOKUP($A45,'CG20'!$A$364:$B$440,2,FALSE)</f>
        <v>2</v>
      </c>
      <c r="C45" s="5">
        <f>+VLOOKUP($A45,'CG20'!$A$436:$B$500,2,FALSE)</f>
        <v>18</v>
      </c>
      <c r="D45" s="6">
        <f t="shared" si="1"/>
        <v>0.42</v>
      </c>
      <c r="E45" s="5">
        <f>+VLOOKUP($A45,'CG50'!$A$364:$B$440,2,FALSE)</f>
        <v>6</v>
      </c>
      <c r="F45" s="5">
        <f>+VLOOKUP($A45,'CG50'!$A$436:$B$500,2,FALSE)</f>
        <v>44</v>
      </c>
      <c r="G45" s="6">
        <f t="shared" si="2"/>
        <v>0.42400000000000004</v>
      </c>
      <c r="H45" s="5">
        <f>+VLOOKUP($A45,'CG100'!$A$364:$B$440,2,FALSE)</f>
        <v>14</v>
      </c>
      <c r="I45" s="5">
        <f>+VLOOKUP($A45,'CG100'!$A$436:$B$500,2,FALSE)</f>
        <v>86</v>
      </c>
      <c r="J45" s="6">
        <f t="shared" si="3"/>
        <v>0.42799999999999999</v>
      </c>
      <c r="K45" s="4">
        <f>+VLOOKUP(A45,HIST!$A:$C,2,FALSE)</f>
        <v>1305</v>
      </c>
      <c r="L45" s="7">
        <f>+VLOOKUP($A45,HIST!$A:$C,3,FALSE)</f>
        <v>46225</v>
      </c>
      <c r="M45" s="4">
        <f t="shared" ca="1" si="0"/>
        <v>5</v>
      </c>
      <c r="N45" t="str">
        <f>IF(K45="","",IF(K45&gt;=R1,"Caliente",IF(K45&lt;=R2,"Frio","Medio")))</f>
        <v>Caliente</v>
      </c>
      <c r="O45" t="str">
        <f ca="1">IF(N45="","",IF(M45&gt;=R3,N45&amp;" atrasado",N45&amp;" reciente"))</f>
        <v>Caliente reciente</v>
      </c>
      <c r="P45"/>
      <c r="Q45"/>
      <c r="R45"/>
    </row>
    <row r="46" spans="1:18" x14ac:dyDescent="0.25">
      <c r="A46" s="5">
        <v>44</v>
      </c>
      <c r="B46" s="5">
        <f>+VLOOKUP($A46,'CG20'!$A$364:$B$440,2,FALSE)</f>
        <v>3</v>
      </c>
      <c r="C46" s="5">
        <f>+VLOOKUP($A46,'CG20'!$A$436:$B$500,2,FALSE)</f>
        <v>17</v>
      </c>
      <c r="D46" s="6">
        <f t="shared" si="1"/>
        <v>0.43000000000000005</v>
      </c>
      <c r="E46" s="5">
        <f>+VLOOKUP($A46,'CG50'!$A$364:$B$440,2,FALSE)</f>
        <v>8</v>
      </c>
      <c r="F46" s="5">
        <f>+VLOOKUP($A46,'CG50'!$A$436:$B$500,2,FALSE)</f>
        <v>42</v>
      </c>
      <c r="G46" s="6">
        <f t="shared" si="2"/>
        <v>0.43200000000000005</v>
      </c>
      <c r="H46" s="5">
        <f>+VLOOKUP($A46,'CG100'!$A$364:$B$440,2,FALSE)</f>
        <v>16</v>
      </c>
      <c r="I46" s="5">
        <f>+VLOOKUP($A46,'CG100'!$A$436:$B$500,2,FALSE)</f>
        <v>84</v>
      </c>
      <c r="J46" s="6">
        <f t="shared" si="3"/>
        <v>0.43200000000000005</v>
      </c>
      <c r="K46" s="4">
        <f>+VLOOKUP(A46,HIST!$A:$C,2,FALSE)</f>
        <v>1080</v>
      </c>
      <c r="L46" s="7">
        <f>+VLOOKUP($A46,HIST!$A:$C,3,FALSE)</f>
        <v>46225</v>
      </c>
      <c r="M46" s="4">
        <f t="shared" ca="1" si="0"/>
        <v>5</v>
      </c>
      <c r="N46" t="str">
        <f>IF(K46="","",IF(K46&gt;=R1,"Caliente",IF(K46&lt;=R2,"Frio","Medio")))</f>
        <v>Medio</v>
      </c>
      <c r="O46" t="str">
        <f ca="1">IF(N46="","",IF(M46&gt;=R3,N46&amp;" atrasado",N46&amp;" reciente"))</f>
        <v>Medio reciente</v>
      </c>
      <c r="P46"/>
      <c r="Q46"/>
      <c r="R46"/>
    </row>
    <row r="47" spans="1:18" x14ac:dyDescent="0.25">
      <c r="A47" s="5">
        <v>45</v>
      </c>
      <c r="B47" s="5">
        <f>+VLOOKUP($A47,'CG20'!$A$364:$B$440,2,FALSE)</f>
        <v>3</v>
      </c>
      <c r="C47" s="5">
        <f>+VLOOKUP($A47,'CG20'!$A$436:$B$500,2,FALSE)</f>
        <v>17</v>
      </c>
      <c r="D47" s="6">
        <f t="shared" si="1"/>
        <v>0.43000000000000005</v>
      </c>
      <c r="E47" s="5">
        <f>+VLOOKUP($A47,'CG50'!$A$364:$B$440,2,FALSE)</f>
        <v>6</v>
      </c>
      <c r="F47" s="5">
        <f>+VLOOKUP($A47,'CG50'!$A$436:$B$500,2,FALSE)</f>
        <v>44</v>
      </c>
      <c r="G47" s="6">
        <f t="shared" si="2"/>
        <v>0.42400000000000004</v>
      </c>
      <c r="H47" s="5">
        <f>+VLOOKUP($A47,'CG100'!$A$364:$B$440,2,FALSE)</f>
        <v>13</v>
      </c>
      <c r="I47" s="5">
        <f>+VLOOKUP($A47,'CG100'!$A$436:$B$500,2,FALSE)</f>
        <v>87</v>
      </c>
      <c r="J47" s="6">
        <f t="shared" si="3"/>
        <v>0.42600000000000005</v>
      </c>
      <c r="K47" s="4">
        <f>+VLOOKUP(A47,HIST!$A:$C,2,FALSE)</f>
        <v>1002</v>
      </c>
      <c r="L47" s="7">
        <f>+VLOOKUP($A47,HIST!$A:$C,3,FALSE)</f>
        <v>46225</v>
      </c>
      <c r="M47" s="4">
        <f t="shared" ca="1" si="0"/>
        <v>5</v>
      </c>
      <c r="N47" t="str">
        <f>IF(K47="","",IF(K47&gt;=R1,"Caliente",IF(K47&lt;=R2,"Frio","Medio")))</f>
        <v>Medio</v>
      </c>
      <c r="O47" t="str">
        <f ca="1">IF(N47="","",IF(M47&gt;=R3,N47&amp;" atrasado",N47&amp;" reciente"))</f>
        <v>Medio reciente</v>
      </c>
      <c r="P47"/>
      <c r="Q47"/>
      <c r="R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HIST</vt:lpstr>
      <vt:lpstr>CG100</vt:lpstr>
      <vt:lpstr>CG50</vt:lpstr>
      <vt:lpstr>CG20</vt:lpstr>
      <vt:lpstr>Stats</vt:lpstr>
      <vt:lpstr>'CG100'!_?nsorteos_100</vt:lpstr>
      <vt:lpstr>'CG20'!_?nsorteos_20</vt:lpstr>
      <vt:lpstr>'CG50'!estadisticas</vt:lpstr>
      <vt:lpstr>HIST!quini6estadisticas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dc:creator>
  <cp:lastModifiedBy>Tecnica Radar</cp:lastModifiedBy>
  <dcterms:created xsi:type="dcterms:W3CDTF">2026-04-01T14:37:17Z</dcterms:created>
  <dcterms:modified xsi:type="dcterms:W3CDTF">2026-07-27T11:57:12Z</dcterms:modified>
</cp:coreProperties>
</file>